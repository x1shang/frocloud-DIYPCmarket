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Obsidian Vaults\新建文件夹\frocloud\frocloud-DIYPCmarket\"/>
    </mc:Choice>
  </mc:AlternateContent>
  <bookViews>
    <workbookView windowWidth="23040" windowHeight="9060" firstSheet="3" activeTab="4"/>
  </bookViews>
  <sheets>
    <sheet name="GPU天梯图" sheetId="1" r:id="rId1"/>
    <sheet name="CPU天梯图" sheetId="2" r:id="rId2"/>
    <sheet name="笔记本CPU天梯图" sheetId="9" r:id="rId3"/>
    <sheet name="50系显卡用料" sheetId="7" r:id="rId4"/>
    <sheet name="2025显卡" sheetId="3" r:id="rId5"/>
    <sheet name="2025CPU" sheetId="4" r:id="rId6"/>
    <sheet name="显卡品牌" sheetId="5" r:id="rId7"/>
    <sheet name="内存" sheetId="6" r:id="rId8"/>
    <sheet name="机箱散热电源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<sst xmlns="http://schemas.openxmlformats.org/spreadsheetml/2006/main" count="910" uniqueCount="613">
  <si>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</si>
  <si>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</si>
  <si>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</si>
  <si>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</si>
  <si>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</si>
  <si>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</si>
  <si>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</si>
  <si>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</si>
  <si>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</si>
  <si>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</si>
  <si>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</si>
  <si>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</si>
  <si>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</si>
  <si>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</si>
  <si>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</si>
  <si>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</si>
  <si>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</si>
  <si>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</si>
  <si>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</si>
  <si>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</si>
  <si>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</si>
  <si>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</si>
  <si>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</si>
  <si>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</si>
  <si>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</si>
  <si>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</si>
  <si>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</si>
  <si>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</si>
  <si>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</si>
  <si>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</si>
  <si>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</si>
  <si>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</si>
  <si>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</si>
  <si>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</si>
  <si>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</si>
  <si>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</si>
  <si>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</si>
  <si>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</si>
  <si>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</si>
  <si>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</si>
  <si>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</si>
  <si>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</si>
  <si>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</si>
  <si>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</si>
  <si>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</si>
  <si>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</si>
  <si>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</si>
  <si>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</si>
  <si>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</si>
  <si>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</si>
  <si>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</si>
  <si>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</si>
  <si>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</si>
  <si>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</si>
  <si>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</si>
  <si>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</si>
  <si>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</si>
  <si>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</si>
  <si>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</si>
  <si>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</si>
  <si>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</si>
  <si>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</si>
  <si>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</si>
  <si>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</si>
  <si>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</si>
  <si>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</si>
  <si>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</si>
  <si>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</si>
  <si>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</si>
  <si>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</si>
  <si>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</si>
  <si>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</si>
  <si>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</si>
  <si>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</si>
  <si>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</si>
  <si>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</si>
  <si>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</si>
  <si>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</si>
  <si>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</si>
  <si>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</si>
  <si>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</si>
  <si>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</si>
  <si>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</si>
  <si>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</si>
  <si>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</si>
  <si>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</si>
  <si>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</si>
  <si>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</si>
  <si>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</si>
  <si>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</si>
  <si>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</si>
  <si>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</si>
  <si>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</si>
  <si>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</si>
  <si>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</si>
  <si>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</si>
  <si>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</si>
  <si>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</si>
  <si>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</si>
  <si>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</si>
  <si>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</si>
  <si>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</si>
  <si>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</si>
  <si>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</si>
  <si>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</si>
  <si>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</si>
  <si>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</si>
  <si>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</si>
  <si>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</si>
  <si>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</si>
  <si>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</si>
  <si>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</si>
  <si>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</si>
  <si>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</si>
  <si>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</si>
  <si>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</si>
  <si>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</si>
  <si>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</si>
  <si>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</si>
  <si>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</si>
  <si>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</si>
  <si>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</si>
  <si>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</si>
  <si>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</si>
  <si>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</si>
  <si>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</si>
  <si>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</si>
  <si>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</si>
  <si>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</si>
  <si>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</si>
  <si>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</si>
  <si>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</si>
  <si>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</si>
  <si>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</si>
  <si>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</si>
  <si>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</si>
  <si>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</si>
  <si>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</si>
  <si>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</si>
  <si>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</si>
  <si>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</si>
  <si>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</si>
  <si>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</si>
  <si>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</si>
  <si>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</si>
  <si>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</si>
  <si>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</si>
  <si>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</si>
  <si>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</si>
  <si>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</si>
  <si>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</si>
  <si>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</si>
  <si>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</si>
  <si>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</si>
  <si>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</si>
  <si>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</si>
  <si>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</si>
  <si>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</si>
  <si>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</si>
  <si>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</si>
  <si>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</si>
  <si>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</si>
  <si>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</si>
  <si>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</si>
  <si>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</si>
  <si>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</si>
  <si>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</si>
  <si>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</si>
  <si>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</si>
  <si>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</si>
  <si>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</si>
  <si>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</si>
  <si>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</si>
  <si>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</si>
  <si>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</si>
  <si>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</si>
  <si>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</si>
  <si>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</si>
  <si>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</si>
  <si>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</si>
  <si>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</si>
  <si>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</si>
  <si>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</si>
  <si>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</si>
  <si>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</si>
  <si>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</si>
  <si>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</si>
  <si>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</si>
  <si>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</si>
  <si>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</si>
  <si>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</si>
  <si>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</si>
  <si>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</si>
  <si>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</si>
  <si>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</si>
  <si>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</si>
  <si>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</si>
  <si>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</si>
  <si>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</si>
  <si>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</si>
  <si>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</si>
  <si>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</si>
  <si>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</si>
  <si>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</si>
  <si>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</si>
  <si>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</si>
  <si>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</si>
  <si>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</si>
  <si>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</si>
  <si>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</si>
  <si>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</si>
  <si>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</si>
  <si>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</si>
  <si>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</si>
  <si>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</si>
  <si>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</si>
  <si>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</si>
  <si>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</si>
  <si>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</si>
  <si>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</si>
  <si>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</si>
  <si>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</si>
  <si>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</si>
  <si>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</si>
  <si>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</si>
  <si>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</si>
  <si>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</si>
  <si>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</si>
  <si>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</si>
  <si>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</si>
  <si>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</si>
  <si>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</si>
  <si>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</si>
  <si>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</si>
  <si>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</si>
  <si>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</si>
  <si>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</si>
  <si>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</si>
  <si>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</si>
  <si>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</si>
  <si>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</si>
  <si>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</si>
  <si>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</si>
  <si>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</si>
  <si>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</si>
  <si>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</si>
  <si>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</si>
  <si>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</si>
  <si>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</si>
  <si>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</si>
  <si>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</si>
  <si>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</si>
  <si>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</si>
  <si>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</si>
  <si>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</si>
  <si>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</si>
  <si>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</si>
  <si>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</si>
  <si>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</si>
  <si>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</si>
  <si>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</si>
  <si>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</si>
  <si>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</si>
  <si>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</si>
  <si>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</si>
  <si>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</si>
  <si>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</si>
  <si>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</si>
  <si>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</si>
  <si>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</si>
  <si>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</si>
  <si>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</si>
  <si>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</si>
  <si>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</si>
  <si>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</si>
  <si>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</si>
  <si>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</si>
  <si>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</si>
  <si>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</si>
  <si>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</si>
  <si>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</si>
  <si>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</si>
  <si>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</si>
  <si>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</si>
  <si>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</si>
  <si>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</si>
  <si>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</si>
  <si>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</si>
  <si>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</si>
  <si>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</si>
  <si>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</si>
  <si>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</si>
  <si>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</si>
  <si>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</si>
  <si>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</si>
  <si>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</si>
  <si>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</si>
  <si>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</si>
  <si>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</si>
  <si>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</si>
  <si>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</si>
  <si>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</si>
  <si>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</si>
  <si>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</si>
  <si>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</si>
  <si>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</si>
  <si>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</si>
  <si>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</si>
  <si>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</si>
  <si>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</si>
  <si>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</si>
  <si>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</si>
  <si>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</si>
  <si>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</si>
  <si>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</si>
  <si>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</si>
  <si>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</si>
  <si>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</si>
  <si>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</si>
  <si>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</si>
  <si>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</si>
  <si>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</si>
  <si>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</si>
  <si>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</si>
  <si>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</si>
  <si>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</si>
  <si>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CPU</t>
  </si>
  <si>
    <t>主板</t>
  </si>
  <si>
    <t>显卡</t>
  </si>
  <si>
    <t>内存</t>
  </si>
  <si>
    <t>硬盘</t>
  </si>
  <si>
    <t>电源</t>
  </si>
  <si>
    <t>机箱</t>
  </si>
  <si>
    <t>键盘</t>
  </si>
  <si>
    <t>其他配件</t>
  </si>
  <si>
    <t>总和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</si>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</sst>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59" borderId="17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18" applyNumberFormat="0" applyFill="0" applyAlignment="0" applyProtection="0">
      <alignment vertical="center"/>
    </xf>
    <xf numFmtId="0" fontId="56" fillId="0" borderId="18" applyNumberFormat="0" applyFill="0" applyAlignment="0" applyProtection="0">
      <alignment vertical="center"/>
    </xf>
    <xf numFmtId="0" fontId="57" fillId="0" borderId="19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0" borderId="20" applyNumberFormat="0" applyAlignment="0" applyProtection="0">
      <alignment vertical="center"/>
    </xf>
    <xf numFmtId="0" fontId="59" fillId="61" borderId="21" applyNumberFormat="0" applyAlignment="0" applyProtection="0">
      <alignment vertical="center"/>
    </xf>
    <xf numFmtId="0" fontId="60" fillId="61" borderId="20" applyNumberFormat="0" applyAlignment="0" applyProtection="0">
      <alignment vertical="center"/>
    </xf>
    <xf numFmtId="0" fontId="61" fillId="62" borderId="22" applyNumberFormat="0" applyAlignment="0" applyProtection="0">
      <alignment vertical="center"/>
    </xf>
    <xf numFmtId="0" fontId="62" fillId="0" borderId="23" applyNumberFormat="0" applyFill="0" applyAlignment="0" applyProtection="0">
      <alignment vertical="center"/>
    </xf>
    <xf numFmtId="0" fontId="63" fillId="0" borderId="24" applyNumberFormat="0" applyFill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6" fillId="65" borderId="0" applyNumberFormat="0" applyBorder="0" applyAlignment="0" applyProtection="0">
      <alignment vertical="center"/>
    </xf>
    <xf numFmtId="0" fontId="67" fillId="66" borderId="0" applyNumberFormat="0" applyBorder="0" applyAlignment="0" applyProtection="0">
      <alignment vertical="center"/>
    </xf>
    <xf numFmtId="0" fontId="68" fillId="67" borderId="0" applyNumberFormat="0" applyBorder="0" applyAlignment="0" applyProtection="0">
      <alignment vertical="center"/>
    </xf>
    <xf numFmtId="0" fontId="68" fillId="68" borderId="0" applyNumberFormat="0" applyBorder="0" applyAlignment="0" applyProtection="0">
      <alignment vertical="center"/>
    </xf>
    <xf numFmtId="0" fontId="67" fillId="69" borderId="0" applyNumberFormat="0" applyBorder="0" applyAlignment="0" applyProtection="0">
      <alignment vertical="center"/>
    </xf>
    <xf numFmtId="0" fontId="67" fillId="70" borderId="0" applyNumberFormat="0" applyBorder="0" applyAlignment="0" applyProtection="0">
      <alignment vertical="center"/>
    </xf>
    <xf numFmtId="0" fontId="68" fillId="71" borderId="0" applyNumberFormat="0" applyBorder="0" applyAlignment="0" applyProtection="0">
      <alignment vertical="center"/>
    </xf>
    <xf numFmtId="0" fontId="68" fillId="72" borderId="0" applyNumberFormat="0" applyBorder="0" applyAlignment="0" applyProtection="0">
      <alignment vertical="center"/>
    </xf>
    <xf numFmtId="0" fontId="67" fillId="73" borderId="0" applyNumberFormat="0" applyBorder="0" applyAlignment="0" applyProtection="0">
      <alignment vertical="center"/>
    </xf>
    <xf numFmtId="0" fontId="67" fillId="74" borderId="0" applyNumberFormat="0" applyBorder="0" applyAlignment="0" applyProtection="0">
      <alignment vertical="center"/>
    </xf>
    <xf numFmtId="0" fontId="68" fillId="75" borderId="0" applyNumberFormat="0" applyBorder="0" applyAlignment="0" applyProtection="0">
      <alignment vertical="center"/>
    </xf>
    <xf numFmtId="0" fontId="68" fillId="76" borderId="0" applyNumberFormat="0" applyBorder="0" applyAlignment="0" applyProtection="0">
      <alignment vertical="center"/>
    </xf>
    <xf numFmtId="0" fontId="67" fillId="77" borderId="0" applyNumberFormat="0" applyBorder="0" applyAlignment="0" applyProtection="0">
      <alignment vertical="center"/>
    </xf>
    <xf numFmtId="0" fontId="67" fillId="78" borderId="0" applyNumberFormat="0" applyBorder="0" applyAlignment="0" applyProtection="0">
      <alignment vertical="center"/>
    </xf>
    <xf numFmtId="0" fontId="68" fillId="79" borderId="0" applyNumberFormat="0" applyBorder="0" applyAlignment="0" applyProtection="0">
      <alignment vertical="center"/>
    </xf>
    <xf numFmtId="0" fontId="68" fillId="80" borderId="0" applyNumberFormat="0" applyBorder="0" applyAlignment="0" applyProtection="0">
      <alignment vertical="center"/>
    </xf>
    <xf numFmtId="0" fontId="67" fillId="81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8" fillId="83" borderId="0" applyNumberFormat="0" applyBorder="0" applyAlignment="0" applyProtection="0">
      <alignment vertical="center"/>
    </xf>
    <xf numFmtId="0" fontId="67" fillId="84" borderId="0" applyNumberFormat="0" applyBorder="0" applyAlignment="0" applyProtection="0">
      <alignment vertical="center"/>
    </xf>
    <xf numFmtId="0" fontId="67" fillId="85" borderId="0" applyNumberFormat="0" applyBorder="0" applyAlignment="0" applyProtection="0">
      <alignment vertical="center"/>
    </xf>
    <xf numFmtId="0" fontId="68" fillId="86" borderId="0" applyNumberFormat="0" applyBorder="0" applyAlignment="0" applyProtection="0">
      <alignment vertical="center"/>
    </xf>
    <xf numFmtId="0" fontId="68" fillId="87" borderId="0" applyNumberFormat="0" applyBorder="0" applyAlignment="0" applyProtection="0">
      <alignment vertical="center"/>
    </xf>
    <xf numFmtId="0" fontId="67" fillId="88" borderId="0" applyNumberFormat="0" applyBorder="0" applyAlignment="0" applyProtection="0">
      <alignment vertical="center"/>
    </xf>
  </cellStyleXfs>
  <cellXfs count="18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11" borderId="3" xfId="0" applyNumberFormat="1" applyFont="1" applyFill="1" applyBorder="1" applyAlignment="1">
      <alignment horizontal="center" vertical="center" wrapText="1"/>
    </xf>
    <xf numFmtId="0" fontId="11" fillId="12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6" fillId="14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3" fillId="14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7" fillId="16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6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1" fillId="21" borderId="3" xfId="0" applyNumberFormat="1" applyFont="1" applyFill="1" applyBorder="1" applyAlignment="1">
      <alignment horizontal="center" vertical="center" wrapText="1"/>
    </xf>
    <xf numFmtId="0" fontId="18" fillId="22" borderId="3" xfId="0" applyNumberFormat="1" applyFont="1" applyFill="1" applyBorder="1" applyAlignment="1">
      <alignment horizontal="center" vertical="center" wrapText="1"/>
    </xf>
    <xf numFmtId="0" fontId="14" fillId="22" borderId="3" xfId="0" applyNumberFormat="1" applyFont="1" applyFill="1" applyBorder="1" applyAlignment="1">
      <alignment horizontal="center" vertical="center" wrapText="1"/>
    </xf>
    <xf numFmtId="0" fontId="13" fillId="22" borderId="3" xfId="0" applyNumberFormat="1" applyFont="1" applyFill="1" applyBorder="1" applyAlignment="1">
      <alignment horizontal="center" vertical="center" wrapText="1"/>
    </xf>
    <xf numFmtId="0" fontId="14" fillId="23" borderId="3" xfId="0" applyNumberFormat="1" applyFont="1" applyFill="1" applyBorder="1" applyAlignment="1">
      <alignment horizontal="center" vertical="center" wrapText="1"/>
    </xf>
    <xf numFmtId="0" fontId="14" fillId="24" borderId="3" xfId="0" applyNumberFormat="1" applyFont="1" applyFill="1" applyBorder="1" applyAlignment="1">
      <alignment horizontal="center" vertical="center" wrapText="1"/>
    </xf>
    <xf numFmtId="0" fontId="14" fillId="25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6" borderId="3" xfId="0" applyNumberFormat="1" applyFont="1" applyFill="1" applyBorder="1" applyAlignment="1">
      <alignment horizontal="center" vertical="center" wrapText="1"/>
    </xf>
    <xf numFmtId="0" fontId="28" fillId="27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6" borderId="3" xfId="0" applyNumberFormat="1" applyFont="1" applyFill="1" applyBorder="1" applyAlignment="1">
      <alignment horizontal="center" vertical="center" wrapText="1"/>
    </xf>
    <xf numFmtId="0" fontId="32" fillId="28" borderId="3" xfId="0" applyNumberFormat="1" applyFont="1" applyFill="1" applyBorder="1" applyAlignment="1">
      <alignment horizontal="center" vertical="center" wrapText="1"/>
    </xf>
    <xf numFmtId="0" fontId="33" fillId="29" borderId="3" xfId="0" applyNumberFormat="1" applyFont="1" applyFill="1" applyBorder="1" applyAlignment="1">
      <alignment horizontal="center" vertical="center" wrapText="1"/>
    </xf>
    <xf numFmtId="0" fontId="34" fillId="30" borderId="3" xfId="0" applyNumberFormat="1" applyFont="1" applyFill="1" applyBorder="1" applyAlignment="1">
      <alignment horizontal="center" vertical="center" wrapText="1"/>
    </xf>
    <xf numFmtId="0" fontId="35" fillId="30" borderId="3" xfId="0" applyNumberFormat="1" applyFont="1" applyFill="1" applyBorder="1" applyAlignment="1">
      <alignment horizontal="center" vertical="center" wrapText="1"/>
    </xf>
    <xf numFmtId="0" fontId="36" fillId="27" borderId="3" xfId="0" applyNumberFormat="1" applyFont="1" applyFill="1" applyBorder="1" applyAlignment="1">
      <alignment horizontal="center" vertical="center" wrapText="1"/>
    </xf>
    <xf numFmtId="0" fontId="37" fillId="31" borderId="3" xfId="0" applyNumberFormat="1" applyFont="1" applyFill="1" applyBorder="1" applyAlignment="1">
      <alignment horizontal="center" vertical="center" wrapText="1"/>
    </xf>
    <xf numFmtId="0" fontId="23" fillId="14" borderId="3" xfId="0" applyNumberFormat="1" applyFont="1" applyFill="1" applyBorder="1" applyAlignment="1">
      <alignment horizontal="center" vertical="center" wrapText="1"/>
    </xf>
    <xf numFmtId="0" fontId="38" fillId="32" borderId="3" xfId="0" applyNumberFormat="1" applyFont="1" applyFill="1" applyBorder="1" applyAlignment="1">
      <alignment horizontal="center" vertical="center" wrapText="1"/>
    </xf>
    <xf numFmtId="0" fontId="39" fillId="33" borderId="3" xfId="0" applyNumberFormat="1" applyFont="1" applyFill="1" applyBorder="1" applyAlignment="1">
      <alignment horizontal="center" vertical="center" wrapText="1"/>
    </xf>
    <xf numFmtId="0" fontId="31" fillId="32" borderId="3" xfId="0" applyNumberFormat="1" applyFont="1" applyFill="1" applyBorder="1" applyAlignment="1">
      <alignment horizontal="center" vertical="center" wrapText="1"/>
    </xf>
    <xf numFmtId="0" fontId="23" fillId="32" borderId="3" xfId="0" applyNumberFormat="1" applyFont="1" applyFill="1" applyBorder="1" applyAlignment="1">
      <alignment horizontal="center" vertical="center" wrapText="1"/>
    </xf>
    <xf numFmtId="0" fontId="40" fillId="19" borderId="3" xfId="0" applyNumberFormat="1" applyFont="1" applyFill="1" applyBorder="1" applyAlignment="1">
      <alignment horizontal="center" vertical="center" wrapText="1"/>
    </xf>
    <xf numFmtId="0" fontId="1" fillId="34" borderId="4" xfId="0" applyFont="1" applyFill="1" applyBorder="1" applyAlignment="1">
      <alignment horizontal="center" vertical="center"/>
    </xf>
    <xf numFmtId="0" fontId="41" fillId="35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6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7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44" fillId="38" borderId="0" xfId="0" applyFont="1" applyFill="1" applyAlignment="1">
      <alignment horizontal="center" vertical="center" wrapText="1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39" borderId="0" xfId="0" applyFill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1" fillId="46" borderId="0" xfId="0" applyFont="1" applyFill="1">
      <alignment vertical="center"/>
    </xf>
    <xf numFmtId="0" fontId="0" fillId="46" borderId="0" xfId="0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9" borderId="0" xfId="0" applyFill="1" applyAlignment="1">
      <alignment horizontal="center" vertical="center" wrapText="1"/>
    </xf>
    <xf numFmtId="0" fontId="45" fillId="50" borderId="0" xfId="0" applyFont="1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0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45" fillId="2" borderId="0" xfId="0" applyFont="1" applyFill="1">
      <alignment vertical="center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4" borderId="0" xfId="0" applyFont="1" applyFill="1">
      <alignment vertical="center"/>
    </xf>
    <xf numFmtId="0" fontId="46" fillId="55" borderId="0" xfId="0" applyFont="1" applyFill="1">
      <alignment vertical="center"/>
    </xf>
    <xf numFmtId="0" fontId="0" fillId="56" borderId="0" xfId="0" applyFill="1">
      <alignment vertical="center"/>
    </xf>
    <xf numFmtId="0" fontId="2" fillId="0" borderId="0" xfId="0" applyFont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4" borderId="10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11" xfId="0" applyFill="1" applyBorder="1">
      <alignment vertical="center"/>
    </xf>
    <xf numFmtId="0" fontId="0" fillId="0" borderId="12" xfId="0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4" borderId="15" xfId="0" applyFill="1" applyBorder="1">
      <alignment vertical="center"/>
    </xf>
    <xf numFmtId="0" fontId="0" fillId="5" borderId="16" xfId="0" applyFill="1" applyBorder="1">
      <alignment vertical="center"/>
    </xf>
    <xf numFmtId="10" fontId="0" fillId="0" borderId="0" xfId="0" applyNumberFormat="1">
      <alignment vertical="center"/>
    </xf>
    <xf numFmtId="0" fontId="0" fillId="43" borderId="0" xfId="0" applyFill="1" applyAlignment="1">
      <alignment horizontal="center" vertical="center" wrapText="1"/>
    </xf>
    <xf numFmtId="0" fontId="47" fillId="50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center" vertical="center" wrapText="1"/>
    </xf>
    <xf numFmtId="0" fontId="45" fillId="50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left" vertical="center"/>
    </xf>
    <xf numFmtId="0" fontId="1" fillId="57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50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50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58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4" borderId="0" xfId="0" applyFont="1" applyFill="1" applyAlignment="1">
      <alignment horizontal="center" vertical="center"/>
    </xf>
    <xf numFmtId="0" fontId="46" fillId="55" borderId="0" xfId="0" applyFont="1" applyFill="1" applyAlignment="1">
      <alignment horizontal="center" vertical="center"/>
    </xf>
    <xf numFmtId="0" fontId="1" fillId="55" borderId="0" xfId="0" applyFont="1" applyFill="1" applyAlignment="1">
      <alignment horizontal="center" vertical="center"/>
    </xf>
    <xf numFmtId="0" fontId="1" fillId="54" borderId="0" xfId="0" applyFont="1" applyFill="1" applyAlignment="1">
      <alignment horizontal="center" vertical="center"/>
    </xf>
    <xf numFmtId="0" fontId="49" fillId="54" borderId="0" xfId="0" applyFont="1" applyFill="1" applyAlignment="1">
      <alignment horizontal="center" vertical="center"/>
    </xf>
    <xf numFmtId="0" fontId="49" fillId="55" borderId="0" xfId="0" applyFont="1" applyFill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7A0C9EF3-3222-409A-BE19-643DFE0AAD46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altLang="en-US"/>
              <a:t>配置与预算</a:t>
            </a:r>
            <a:endParaRPr lang="en-US" altLang="zh-CN"/>
          </a:p>
        </c:rich>
      </c:tx>
      <c:layout>
        <c:manualLayout>
          <c:xMode val="edge"/>
          <c:yMode val="edge"/>
          <c:x val="0.657894736842105"/>
          <c:y val="0.0930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0.0363157894736842"/>
                  <c:y val="0.155555555555556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108947368421053"/>
                  <c:y val="-0.194444444444444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0.0821052631578947"/>
                  <c:y val="-0.144444444444444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0.137368421052632"/>
                  <c:y val="0.0111111111111111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0"/>
                  <c:y val="0.07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电源2.48%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925"/>
                      <c:h val="0.128935185185185"/>
                    </c:manualLayout>
                  </c15:layout>
                </c:ext>
              </c:extLst>
            </c:dLbl>
            <c:dLbl>
              <c:idx val="6"/>
              <c:layout>
                <c:manualLayout>
                  <c:x val="0.0110526315789474"/>
                  <c:y val="0.052777777777777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散热3.26%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64342105263158"/>
                      <c:h val="0.128935185185185"/>
                    </c:manualLayout>
                  </c15:layout>
                </c:ext>
              </c:extLst>
            </c:dLbl>
            <c:dLbl>
              <c:idx val="7"/>
              <c:layout>
                <c:manualLayout>
                  <c:x val="-0.00315789473684211"/>
                  <c:y val="0.016666666666666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机箱1.79%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07105263157895"/>
                      <c:h val="0.128935185185185"/>
                    </c:manualLayout>
                  </c15:layout>
                </c:ext>
              </c:extLst>
            </c:dLbl>
            <c:dLbl>
              <c:idx val="8"/>
              <c:layout>
                <c:manualLayout>
                  <c:x val="0.0521052631578947"/>
                  <c:y val="-0.016666666666666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键盘2.21%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894736842105"/>
                      <c:h val="0.128935185185185"/>
                    </c:manualLayout>
                  </c15:layout>
                </c:ext>
              </c:extLst>
            </c:dLbl>
            <c:dLbl>
              <c:idx val="9"/>
              <c:layout>
                <c:manualLayout>
                  <c:x val="0.0694736842105263"/>
                  <c:y val="0.04485665590228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 forceAA="0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微软雅黑" panose="020B0503020204020204" charset="-122"/>
                        <a:ea typeface="微软雅黑" panose="020B0503020204020204" charset="-122"/>
                        <a:cs typeface="微软雅黑" panose="020B0503020204020204" charset="-122"/>
                        <a:sym typeface="微软雅黑" panose="020B0503020204020204" charset="-122"/>
                      </a:defRPr>
                    </a:pPr>
                    <a:r>
                      <a:t>其他配件0.44%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3552631578947"/>
                      <c:h val="0.128935185185185"/>
                    </c:manualLayout>
                  </c15:layout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'50系显卡用料'!$B$51:$K$51</c:f>
              <c:strCache>
                <c:ptCount val="10"/>
                <c:pt idx="0">
                  <c:v>CPU</c:v>
                </c:pt>
                <c:pt idx="1">
                  <c:v>主板</c:v>
                </c:pt>
                <c:pt idx="2">
                  <c:v>显卡</c:v>
                </c:pt>
                <c:pt idx="3">
                  <c:v>内存</c:v>
                </c:pt>
                <c:pt idx="4">
                  <c:v>硬盘</c:v>
                </c:pt>
                <c:pt idx="5">
                  <c:v>电源</c:v>
                </c:pt>
                <c:pt idx="6">
                  <c:v>散热</c:v>
                </c:pt>
                <c:pt idx="7">
                  <c:v>机箱</c:v>
                </c:pt>
                <c:pt idx="8">
                  <c:v>键盘</c:v>
                </c:pt>
                <c:pt idx="9">
                  <c:v>其他配件</c:v>
                </c:pt>
              </c:strCache>
            </c:strRef>
          </c:cat>
          <c:val>
            <c:numRef>
              <c:f>'50系显卡用料'!$B$52:$K$52</c:f>
              <c:numCache>
                <c:formatCode>0.00%</c:formatCode>
                <c:ptCount val="10"/>
                <c:pt idx="0">
                  <c:v>0.1134</c:v>
                </c:pt>
                <c:pt idx="1">
                  <c:v>0.0609</c:v>
                </c:pt>
                <c:pt idx="2">
                  <c:v>0.402</c:v>
                </c:pt>
                <c:pt idx="3">
                  <c:v>0.0804</c:v>
                </c:pt>
                <c:pt idx="4">
                  <c:v>0.2415</c:v>
                </c:pt>
                <c:pt idx="5">
                  <c:v>0.0248</c:v>
                </c:pt>
                <c:pt idx="6">
                  <c:v>0.0326</c:v>
                </c:pt>
                <c:pt idx="7">
                  <c:v>0.0179</c:v>
                </c:pt>
                <c:pt idx="8">
                  <c:v>0.0221</c:v>
                </c:pt>
                <c:pt idx="9">
                  <c:v>0.0044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22be449-9e0c-4e60-8228-b2957b98aade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111760</xdr:colOff>
      <xdr:row>40</xdr:row>
      <xdr:rowOff>124460</xdr:rowOff>
    </xdr:from>
    <xdr:to>
      <xdr:col>9</xdr:col>
      <xdr:colOff>236220</xdr:colOff>
      <xdr:row>55</xdr:row>
      <xdr:rowOff>126365</xdr:rowOff>
    </xdr:to>
    <xdr:graphicFrame>
      <xdr:nvGraphicFramePr>
        <xdr:cNvPr id="3" name="图表 2" descr="7b0a202020202263686172745265734964223a20223230343735393537220a7d0a"/>
        <xdr:cNvGraphicFramePr/>
      </xdr:nvGraphicFramePr>
      <xdr:xfrm>
        <a:off x="1330960" y="4888865"/>
        <a:ext cx="4826000" cy="27451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6" customWidth="1"/>
    <col min="2" max="2" width="9.88888888888889" style="106" customWidth="1"/>
    <col min="3" max="3" width="8.88888888888889" style="106" customWidth="1"/>
    <col min="4" max="4" width="10.0833333333333" style="106" customWidth="1"/>
    <col min="5" max="5" width="10.25" style="106" customWidth="1"/>
    <col min="6" max="6" width="9.51851851851852" style="113" customWidth="1"/>
    <col min="7" max="7" width="5.96296296296296" style="152" customWidth="1"/>
    <col min="8" max="8" width="5.96296296296296" style="153" customWidth="1"/>
    <col min="9" max="9" width="7.71296296296296" style="153" customWidth="1"/>
    <col min="10" max="11" width="5.96296296296296" style="153" customWidth="1"/>
    <col min="12" max="13" width="6.55555555555556" style="113" hidden="1" customWidth="1"/>
    <col min="14" max="14" width="9.76851851851852" style="113" customWidth="1"/>
    <col min="15" max="15" width="7.77777777777778" style="106" customWidth="1"/>
    <col min="16" max="16" width="11.4444444444444" style="106" customWidth="1"/>
    <col min="17" max="17" width="13.962962962963" style="106" customWidth="1"/>
    <col min="18" max="18" width="6.02777777777778" customWidth="1"/>
    <col min="19" max="19" width="6.92592592592593" customWidth="1"/>
  </cols>
  <sheetData>
    <row r="1" spans="1:26">
      <c r="A1" s="154" t="s">
        <v>0</v>
      </c>
      <c r="B1" s="154"/>
      <c r="C1" s="154"/>
      <c r="D1" s="154"/>
      <c r="E1" s="154"/>
      <c r="F1" s="155"/>
      <c r="G1" s="141" t="s">
        <v>1</v>
      </c>
      <c r="H1" s="142" t="s">
        <v>2</v>
      </c>
      <c r="I1" s="143" t="s">
        <v>3</v>
      </c>
      <c r="J1" s="144" t="s">
        <v>1</v>
      </c>
      <c r="K1" s="156" t="s">
        <v>4</v>
      </c>
      <c r="N1" s="157"/>
      <c r="O1" s="157"/>
      <c r="P1" s="157"/>
      <c r="Q1" s="158" t="s">
        <v>5</v>
      </c>
      <c r="R1" s="159"/>
      <c r="S1" s="159" t="s">
        <v>6</v>
      </c>
    </row>
    <row r="2" ht="16" customHeight="1" spans="1:26">
      <c r="A2" s="154" t="s">
        <v>7</v>
      </c>
      <c r="B2" s="154" t="s">
        <v>8</v>
      </c>
      <c r="C2" s="154" t="s">
        <v>9</v>
      </c>
      <c r="D2" s="154" t="s">
        <v>10</v>
      </c>
      <c r="E2" s="154" t="s">
        <v>11</v>
      </c>
      <c r="F2" s="160" t="s">
        <v>12</v>
      </c>
      <c r="G2" s="161"/>
      <c r="H2" s="162"/>
      <c r="I2" s="143"/>
      <c r="J2" s="163"/>
      <c r="K2" s="164"/>
      <c r="N2" s="157" t="s">
        <v>13</v>
      </c>
      <c r="O2" s="157" t="s">
        <v>14</v>
      </c>
      <c r="P2" s="157" t="s">
        <v>15</v>
      </c>
      <c r="Q2" s="157" t="s">
        <v>16</v>
      </c>
      <c r="R2" s="159" t="s">
        <v>17</v>
      </c>
      <c r="S2" s="159" t="s">
        <v>18</v>
      </c>
      <c r="U2" s="165"/>
      <c r="V2" s="165"/>
      <c r="W2" s="165"/>
      <c r="X2" s="165"/>
      <c r="Y2" s="165"/>
      <c r="Z2" s="165"/>
    </row>
    <row r="3" spans="1:26">
      <c r="A3" s="106" t="s">
        <v>19</v>
      </c>
      <c r="F3" s="166"/>
      <c r="G3" s="146">
        <v>51776</v>
      </c>
      <c r="H3" s="146">
        <v>39938</v>
      </c>
      <c r="I3" s="146">
        <f t="shared" ref="I3:I8" si="0">G3+H3+J3+K3</f>
        <v>136527</v>
      </c>
      <c r="J3" s="146">
        <v>28009</v>
      </c>
      <c r="K3" s="148">
        <v>16804</v>
      </c>
      <c r="U3" s="165"/>
    </row>
    <row r="4" spans="1:26">
      <c r="F4" s="167">
        <v>5090</v>
      </c>
      <c r="G4" s="146">
        <v>49510</v>
      </c>
      <c r="H4" s="146">
        <v>36673</v>
      </c>
      <c r="I4" s="146">
        <f t="shared" si="0"/>
        <v>125801</v>
      </c>
      <c r="J4" s="146">
        <v>25485</v>
      </c>
      <c r="K4" s="149">
        <v>14133</v>
      </c>
      <c r="U4" s="165"/>
    </row>
    <row r="5" spans="1:26">
      <c r="F5" s="167" t="s">
        <v>20</v>
      </c>
      <c r="G5" s="146">
        <v>49510</v>
      </c>
      <c r="H5" s="146">
        <v>36673</v>
      </c>
      <c r="I5" s="146">
        <f t="shared" si="0"/>
        <v>125801</v>
      </c>
      <c r="J5" s="146">
        <v>25485</v>
      </c>
      <c r="K5" s="149">
        <v>14133</v>
      </c>
      <c r="U5" s="165"/>
    </row>
    <row r="6" spans="1:26">
      <c r="E6" s="119"/>
      <c r="F6" s="167" t="s">
        <v>21</v>
      </c>
      <c r="G6" s="146">
        <v>47000</v>
      </c>
      <c r="H6" s="146">
        <v>33881</v>
      </c>
      <c r="I6" s="146">
        <f t="shared" si="0"/>
        <v>119443</v>
      </c>
      <c r="J6" s="147">
        <v>24562</v>
      </c>
      <c r="K6" s="149">
        <v>14000</v>
      </c>
      <c r="U6" s="165"/>
    </row>
    <row r="7" spans="1:26">
      <c r="E7" s="168">
        <v>4090</v>
      </c>
      <c r="F7" s="167"/>
      <c r="G7" s="146">
        <v>36362</v>
      </c>
      <c r="H7" s="146">
        <v>26093</v>
      </c>
      <c r="I7" s="147">
        <f t="shared" si="0"/>
        <v>91166</v>
      </c>
      <c r="J7" s="148">
        <v>19481</v>
      </c>
      <c r="K7" s="150">
        <v>9230</v>
      </c>
      <c r="U7" s="165"/>
    </row>
    <row r="8" spans="1:26">
      <c r="E8" s="168" t="s">
        <v>22</v>
      </c>
      <c r="F8" s="167"/>
      <c r="G8" s="146">
        <v>34199</v>
      </c>
      <c r="H8" s="147">
        <v>24046</v>
      </c>
      <c r="I8" s="147">
        <f t="shared" si="0"/>
        <v>85024</v>
      </c>
      <c r="J8" s="148">
        <v>18207</v>
      </c>
      <c r="K8" s="150">
        <v>8572</v>
      </c>
      <c r="U8" s="169" t="s">
        <v>23</v>
      </c>
    </row>
    <row r="9" spans="1:26">
      <c r="E9" s="168"/>
      <c r="F9" s="167" t="s">
        <v>24</v>
      </c>
      <c r="G9" s="146"/>
      <c r="H9" s="147"/>
      <c r="I9" s="147"/>
      <c r="J9" s="148"/>
      <c r="K9" s="150"/>
      <c r="U9" s="169"/>
    </row>
    <row r="10" spans="1:26">
      <c r="E10" s="168"/>
      <c r="F10" s="167">
        <v>5080</v>
      </c>
      <c r="G10" s="146">
        <v>31966</v>
      </c>
      <c r="H10" s="147">
        <v>22143</v>
      </c>
      <c r="I10" s="148">
        <f>G10+H10+J10+K10</f>
        <v>78535</v>
      </c>
      <c r="J10" s="148">
        <v>16066</v>
      </c>
      <c r="K10" s="150">
        <v>8360</v>
      </c>
      <c r="U10" s="116" t="s">
        <v>25</v>
      </c>
    </row>
    <row r="11" spans="1:26">
      <c r="A11" s="106" t="s">
        <v>26</v>
      </c>
      <c r="E11" s="168"/>
      <c r="F11" s="167"/>
      <c r="G11" s="146">
        <v>30578</v>
      </c>
      <c r="H11" s="148"/>
      <c r="I11" s="148"/>
      <c r="J11" s="148"/>
      <c r="K11" s="151"/>
      <c r="U11" s="2" t="s">
        <v>27</v>
      </c>
    </row>
    <row r="12" customFormat="1" spans="1:26">
      <c r="A12" s="106"/>
      <c r="B12" s="106"/>
      <c r="C12" s="106"/>
      <c r="D12" s="106"/>
      <c r="E12" s="168"/>
      <c r="F12" s="167"/>
      <c r="G12" s="146">
        <v>29529</v>
      </c>
      <c r="H12" s="148">
        <v>18072</v>
      </c>
      <c r="I12" s="148">
        <f>G12+H12+J12+K12</f>
        <v>68953</v>
      </c>
      <c r="J12" s="149">
        <v>14342</v>
      </c>
      <c r="K12" s="151">
        <v>7010</v>
      </c>
      <c r="L12" s="113"/>
      <c r="M12" s="113"/>
      <c r="N12" s="170" t="s">
        <v>28</v>
      </c>
      <c r="O12" s="119"/>
      <c r="P12" s="106"/>
      <c r="Q12" s="106"/>
      <c r="U12" s="3" t="s">
        <v>29</v>
      </c>
    </row>
    <row r="13" spans="1:26">
      <c r="E13" s="168"/>
      <c r="F13" s="167"/>
      <c r="G13" s="146">
        <v>30311</v>
      </c>
      <c r="H13" s="148">
        <v>16434</v>
      </c>
      <c r="I13" s="148">
        <f>G13+H13+J13+K13</f>
        <v>68852</v>
      </c>
      <c r="J13" s="148">
        <v>15222</v>
      </c>
      <c r="K13" s="151">
        <v>6885</v>
      </c>
      <c r="N13" s="170"/>
      <c r="O13" s="171" t="s">
        <v>30</v>
      </c>
      <c r="U13" s="5" t="s">
        <v>31</v>
      </c>
    </row>
    <row r="14" spans="1:26">
      <c r="E14" s="168"/>
      <c r="F14" s="167" t="s">
        <v>32</v>
      </c>
      <c r="G14" s="146"/>
      <c r="H14" s="148"/>
      <c r="I14" s="148"/>
      <c r="J14" s="148"/>
      <c r="K14" s="151"/>
      <c r="N14" s="170"/>
      <c r="O14" s="171"/>
      <c r="U14" s="5"/>
    </row>
    <row r="15" spans="1:26">
      <c r="E15" s="168" t="s">
        <v>33</v>
      </c>
      <c r="F15" s="167"/>
      <c r="G15" s="146">
        <v>28499</v>
      </c>
      <c r="H15" s="148">
        <v>18355</v>
      </c>
      <c r="I15" s="148">
        <f t="shared" ref="I15:I20" si="1">G15+H15+J15+K15</f>
        <v>67687</v>
      </c>
      <c r="J15" s="149">
        <v>14253</v>
      </c>
      <c r="K15" s="151">
        <v>6580</v>
      </c>
      <c r="N15" s="170"/>
      <c r="O15" s="171"/>
      <c r="U15" s="118" t="s">
        <v>31</v>
      </c>
    </row>
    <row r="16" spans="1:26">
      <c r="E16" s="168"/>
      <c r="F16" s="167" t="s">
        <v>34</v>
      </c>
      <c r="G16" s="146">
        <v>27622</v>
      </c>
      <c r="H16" s="148">
        <v>19201</v>
      </c>
      <c r="I16" s="148">
        <f t="shared" si="1"/>
        <v>66857</v>
      </c>
      <c r="J16" s="149">
        <v>13532</v>
      </c>
      <c r="K16" s="151">
        <v>6502</v>
      </c>
      <c r="N16" s="170"/>
      <c r="O16" s="171"/>
      <c r="U16" s="123" t="s">
        <v>31</v>
      </c>
    </row>
    <row r="17" spans="1:21">
      <c r="E17" s="168">
        <v>4080</v>
      </c>
      <c r="F17" s="167"/>
      <c r="G17" s="146">
        <v>28188</v>
      </c>
      <c r="H17" s="148">
        <v>17911</v>
      </c>
      <c r="I17" s="148">
        <f t="shared" si="1"/>
        <v>66685</v>
      </c>
      <c r="J17" s="149">
        <v>14041</v>
      </c>
      <c r="K17" s="151">
        <v>6545</v>
      </c>
      <c r="N17" s="170"/>
      <c r="O17" s="171"/>
      <c r="U17" s="124" t="s">
        <v>31</v>
      </c>
    </row>
    <row r="18" customFormat="1" spans="1:21">
      <c r="A18" s="106"/>
      <c r="B18" s="106"/>
      <c r="C18" s="106"/>
      <c r="D18" s="106"/>
      <c r="E18" s="168"/>
      <c r="F18" s="172"/>
      <c r="G18" s="146">
        <v>26277</v>
      </c>
      <c r="H18" s="148">
        <v>15620</v>
      </c>
      <c r="I18" s="148">
        <f t="shared" si="1"/>
        <v>60503</v>
      </c>
      <c r="J18" s="149">
        <v>12634</v>
      </c>
      <c r="K18" s="151">
        <v>5972</v>
      </c>
      <c r="L18" s="113"/>
      <c r="M18" s="113"/>
      <c r="N18" s="170">
        <v>9070</v>
      </c>
      <c r="O18" s="171"/>
      <c r="P18" s="106"/>
      <c r="Q18" s="106"/>
      <c r="U18" s="173" t="s">
        <v>31</v>
      </c>
    </row>
    <row r="19" spans="1:21">
      <c r="E19" s="168"/>
      <c r="F19" s="167"/>
      <c r="G19" s="146">
        <v>26415</v>
      </c>
      <c r="H19" s="149">
        <v>14099</v>
      </c>
      <c r="I19" s="149">
        <f t="shared" si="1"/>
        <v>59178</v>
      </c>
      <c r="J19" s="149">
        <v>13038</v>
      </c>
      <c r="K19" s="151">
        <v>5626</v>
      </c>
      <c r="N19" s="170"/>
      <c r="O19" s="171" t="s">
        <v>35</v>
      </c>
    </row>
    <row r="20" spans="1:21">
      <c r="E20" s="168" t="s">
        <v>36</v>
      </c>
      <c r="F20" s="172"/>
      <c r="G20" s="147">
        <v>24346</v>
      </c>
      <c r="H20" s="148">
        <v>15385</v>
      </c>
      <c r="I20" s="149">
        <f t="shared" si="1"/>
        <v>57038</v>
      </c>
      <c r="J20" s="149">
        <v>11765</v>
      </c>
      <c r="K20" s="151">
        <v>5542</v>
      </c>
      <c r="N20" s="170"/>
      <c r="O20" s="171"/>
    </row>
    <row r="21" spans="1:21">
      <c r="A21" s="106" t="s">
        <v>37</v>
      </c>
      <c r="E21" s="168"/>
      <c r="F21" s="172"/>
      <c r="G21" s="147">
        <v>23191</v>
      </c>
      <c r="H21" s="149"/>
      <c r="I21" s="149"/>
      <c r="J21" s="149"/>
      <c r="K21" s="151"/>
      <c r="N21" s="170"/>
      <c r="O21" s="171"/>
    </row>
    <row r="22" customFormat="1" spans="1:21">
      <c r="A22" s="106"/>
      <c r="B22" s="106"/>
      <c r="C22" s="106"/>
      <c r="D22" s="106"/>
      <c r="E22" s="168"/>
      <c r="F22" s="172" t="s">
        <v>38</v>
      </c>
      <c r="G22" s="147"/>
      <c r="H22" s="149"/>
      <c r="I22" s="149"/>
      <c r="J22" s="149"/>
      <c r="K22" s="151"/>
      <c r="L22" s="113"/>
      <c r="M22" s="113"/>
      <c r="N22" s="170"/>
      <c r="O22" s="171"/>
      <c r="P22" s="106"/>
      <c r="Q22" s="106"/>
    </row>
    <row r="23" customFormat="1" spans="1:21">
      <c r="A23" s="106"/>
      <c r="B23" s="106"/>
      <c r="C23" s="106"/>
      <c r="D23" s="168" t="s">
        <v>39</v>
      </c>
      <c r="E23" s="168"/>
      <c r="F23" s="172"/>
      <c r="G23" s="147">
        <v>21816</v>
      </c>
      <c r="H23" s="149">
        <v>14859</v>
      </c>
      <c r="I23" s="149">
        <f t="shared" ref="I23:I39" si="2">G23+H23+J23+K23</f>
        <v>53729</v>
      </c>
      <c r="J23" s="149">
        <v>11312</v>
      </c>
      <c r="K23" s="151">
        <v>5742</v>
      </c>
      <c r="L23" s="113"/>
      <c r="M23" s="113"/>
      <c r="N23" s="170"/>
      <c r="O23" s="171"/>
      <c r="P23" s="106"/>
      <c r="Q23" s="106"/>
    </row>
    <row r="24" spans="1:21">
      <c r="D24" s="168"/>
      <c r="E24" s="168" t="s">
        <v>40</v>
      </c>
      <c r="F24" s="172"/>
      <c r="G24" s="147">
        <v>22787</v>
      </c>
      <c r="H24" s="149">
        <v>14033</v>
      </c>
      <c r="I24" s="149">
        <f t="shared" si="2"/>
        <v>52744</v>
      </c>
      <c r="J24" s="149">
        <v>10908</v>
      </c>
      <c r="K24" s="151">
        <v>5016</v>
      </c>
      <c r="N24" s="170"/>
      <c r="O24" s="171"/>
    </row>
    <row r="25" spans="1:21">
      <c r="D25" s="168"/>
      <c r="E25" s="168"/>
      <c r="F25" s="172"/>
      <c r="G25" s="147">
        <v>22748</v>
      </c>
      <c r="H25" s="149">
        <v>13726</v>
      </c>
      <c r="I25" s="149">
        <f t="shared" si="2"/>
        <v>52384</v>
      </c>
      <c r="J25" s="149">
        <v>10636</v>
      </c>
      <c r="K25" s="174">
        <v>5274</v>
      </c>
      <c r="N25" s="170" t="s">
        <v>41</v>
      </c>
      <c r="O25" s="171"/>
    </row>
    <row r="26" spans="1:21">
      <c r="D26" s="168"/>
      <c r="E26" s="168"/>
      <c r="F26" s="172">
        <v>5070</v>
      </c>
      <c r="G26" s="147">
        <v>22357</v>
      </c>
      <c r="H26" s="149">
        <v>14105</v>
      </c>
      <c r="I26" s="149">
        <f t="shared" si="2"/>
        <v>52209</v>
      </c>
      <c r="J26" s="149">
        <v>10723</v>
      </c>
      <c r="K26" s="151">
        <v>5024</v>
      </c>
      <c r="N26" s="170"/>
      <c r="O26" s="171"/>
    </row>
    <row r="27" spans="1:21">
      <c r="D27" s="168"/>
      <c r="E27" s="168"/>
      <c r="F27" s="172"/>
      <c r="G27" s="147">
        <v>21646</v>
      </c>
      <c r="H27" s="149">
        <v>12334</v>
      </c>
      <c r="I27" s="149">
        <f t="shared" si="2"/>
        <v>49316</v>
      </c>
      <c r="J27" s="149">
        <v>10535</v>
      </c>
      <c r="K27" s="175">
        <v>4801</v>
      </c>
      <c r="N27" s="170"/>
      <c r="O27" s="171" t="s">
        <v>42</v>
      </c>
    </row>
    <row r="28" spans="1:21">
      <c r="D28" s="168"/>
      <c r="E28" s="168" t="s">
        <v>43</v>
      </c>
      <c r="F28" s="172"/>
      <c r="G28" s="147">
        <v>21095</v>
      </c>
      <c r="H28" s="149">
        <v>13201</v>
      </c>
      <c r="I28" s="149">
        <f t="shared" si="2"/>
        <v>49052</v>
      </c>
      <c r="J28" s="149">
        <v>10138</v>
      </c>
      <c r="K28" s="175">
        <v>4618</v>
      </c>
      <c r="N28" s="170"/>
      <c r="O28" s="171"/>
      <c r="P28" s="119"/>
    </row>
    <row r="29" customFormat="1" spans="1:21">
      <c r="A29" s="106"/>
      <c r="B29" s="106"/>
      <c r="C29" s="106"/>
      <c r="D29" s="168">
        <v>3090</v>
      </c>
      <c r="E29" s="168"/>
      <c r="F29" s="172"/>
      <c r="G29" s="148">
        <v>19900</v>
      </c>
      <c r="H29" s="149">
        <v>13639</v>
      </c>
      <c r="I29" s="149">
        <f t="shared" si="2"/>
        <v>48966</v>
      </c>
      <c r="J29" s="149">
        <v>10286</v>
      </c>
      <c r="K29" s="151">
        <v>5141</v>
      </c>
      <c r="L29" s="113"/>
      <c r="M29" s="113"/>
      <c r="N29" s="170"/>
      <c r="O29" s="171"/>
      <c r="P29" s="119"/>
      <c r="Q29" s="106"/>
    </row>
    <row r="30" customFormat="1" spans="1:21">
      <c r="A30" s="106"/>
      <c r="B30" s="106"/>
      <c r="C30" s="106"/>
      <c r="D30" s="168" t="s">
        <v>44</v>
      </c>
      <c r="E30" s="168"/>
      <c r="F30" s="172"/>
      <c r="G30" s="148">
        <v>19620</v>
      </c>
      <c r="H30" s="149">
        <v>13240</v>
      </c>
      <c r="I30" s="149">
        <f t="shared" si="2"/>
        <v>47977</v>
      </c>
      <c r="J30" s="149">
        <v>10036</v>
      </c>
      <c r="K30" s="151">
        <v>5081</v>
      </c>
      <c r="L30" s="113"/>
      <c r="M30" s="113"/>
      <c r="N30" s="170"/>
      <c r="O30" s="171"/>
      <c r="P30" s="119"/>
      <c r="Q30" s="106"/>
    </row>
    <row r="31" spans="1:21">
      <c r="D31" s="168"/>
      <c r="E31" s="168"/>
      <c r="F31" s="172"/>
      <c r="G31" s="147">
        <v>21551</v>
      </c>
      <c r="H31" s="149">
        <v>10826</v>
      </c>
      <c r="I31" s="149">
        <f t="shared" si="2"/>
        <v>47317</v>
      </c>
      <c r="J31" s="149">
        <v>10687</v>
      </c>
      <c r="K31" s="175">
        <v>4253</v>
      </c>
      <c r="N31" s="170"/>
      <c r="O31" s="171"/>
      <c r="P31" s="171" t="s">
        <v>45</v>
      </c>
    </row>
    <row r="32" spans="1:21">
      <c r="D32" s="168"/>
      <c r="E32" s="168"/>
      <c r="F32" s="172"/>
      <c r="G32" s="147">
        <v>20737</v>
      </c>
      <c r="H32" s="149">
        <v>10395</v>
      </c>
      <c r="I32" s="149">
        <f t="shared" si="2"/>
        <v>45279</v>
      </c>
      <c r="J32" s="149">
        <v>10028</v>
      </c>
      <c r="K32" s="175">
        <v>4119</v>
      </c>
      <c r="N32" s="170"/>
      <c r="O32" s="171"/>
      <c r="P32" s="171" t="s">
        <v>46</v>
      </c>
    </row>
    <row r="33" customFormat="1" spans="1:18">
      <c r="A33" s="106"/>
      <c r="B33" s="106"/>
      <c r="C33" s="106"/>
      <c r="D33" s="168" t="s">
        <v>47</v>
      </c>
      <c r="E33" s="168"/>
      <c r="F33" s="172"/>
      <c r="G33" s="148">
        <v>18634</v>
      </c>
      <c r="H33" s="149">
        <v>12269</v>
      </c>
      <c r="I33" s="149">
        <f t="shared" si="2"/>
        <v>45100</v>
      </c>
      <c r="J33" s="150">
        <v>9412</v>
      </c>
      <c r="K33" s="175">
        <v>4785</v>
      </c>
      <c r="L33" s="113"/>
      <c r="M33" s="113"/>
      <c r="N33" s="170"/>
      <c r="O33" s="171"/>
      <c r="P33" s="171"/>
      <c r="Q33" s="106"/>
    </row>
    <row r="34" spans="1:18">
      <c r="D34" s="168"/>
      <c r="E34" s="168"/>
      <c r="F34" s="172"/>
      <c r="G34" s="147">
        <v>20014</v>
      </c>
      <c r="H34" s="149">
        <v>10816</v>
      </c>
      <c r="I34" s="149">
        <f t="shared" si="2"/>
        <v>44404</v>
      </c>
      <c r="J34" s="150">
        <v>9432</v>
      </c>
      <c r="K34" s="175">
        <v>4142</v>
      </c>
      <c r="N34" s="170"/>
      <c r="O34" s="171" t="s">
        <v>48</v>
      </c>
      <c r="P34" s="171"/>
    </row>
    <row r="35" customFormat="1" spans="1:18">
      <c r="A35" s="106"/>
      <c r="B35" s="106"/>
      <c r="C35" s="106"/>
      <c r="D35" s="168">
        <v>3080</v>
      </c>
      <c r="E35" s="168"/>
      <c r="F35" s="172"/>
      <c r="G35" s="148">
        <v>17658</v>
      </c>
      <c r="H35" s="149">
        <v>11583</v>
      </c>
      <c r="I35" s="149">
        <f t="shared" si="2"/>
        <v>42563</v>
      </c>
      <c r="J35" s="150">
        <v>8893</v>
      </c>
      <c r="K35" s="175">
        <v>4429</v>
      </c>
      <c r="L35" s="113"/>
      <c r="M35" s="113"/>
      <c r="N35" s="170"/>
      <c r="O35" s="171"/>
      <c r="P35" s="171"/>
      <c r="Q35" s="106"/>
    </row>
    <row r="36" spans="1:18">
      <c r="D36" s="168"/>
      <c r="E36" s="168"/>
      <c r="F36" s="172"/>
      <c r="G36" s="148">
        <v>19298</v>
      </c>
      <c r="H36" s="150">
        <v>9535</v>
      </c>
      <c r="I36" s="149">
        <f t="shared" si="2"/>
        <v>41826</v>
      </c>
      <c r="J36" s="150">
        <v>9273</v>
      </c>
      <c r="K36" s="175">
        <v>3720</v>
      </c>
      <c r="N36" s="170"/>
      <c r="O36" s="171"/>
      <c r="P36" s="171" t="s">
        <v>49</v>
      </c>
    </row>
    <row r="37" spans="1:18">
      <c r="D37" s="168"/>
      <c r="E37" s="168">
        <v>4070</v>
      </c>
      <c r="F37" s="172"/>
      <c r="G37" s="148">
        <v>17869</v>
      </c>
      <c r="H37" s="149">
        <v>11123</v>
      </c>
      <c r="I37" s="149">
        <f t="shared" si="2"/>
        <v>41204</v>
      </c>
      <c r="J37" s="150">
        <v>8368</v>
      </c>
      <c r="K37" s="175">
        <v>3844</v>
      </c>
      <c r="N37" s="170"/>
      <c r="O37" s="171"/>
      <c r="P37" s="171"/>
    </row>
    <row r="38" spans="1:18">
      <c r="A38" s="106" t="s">
        <v>50</v>
      </c>
      <c r="D38" s="168"/>
      <c r="E38" s="168"/>
      <c r="F38" s="172"/>
      <c r="G38" s="148">
        <v>17741</v>
      </c>
      <c r="H38" s="150"/>
      <c r="I38" s="150"/>
      <c r="J38" s="150"/>
      <c r="K38" s="175"/>
      <c r="N38" s="170"/>
      <c r="O38" s="171"/>
      <c r="P38" s="171"/>
    </row>
    <row r="39" customFormat="1" spans="1:18">
      <c r="A39" s="106"/>
      <c r="B39" s="106"/>
      <c r="C39" s="106"/>
      <c r="D39" s="168"/>
      <c r="E39" s="168"/>
      <c r="F39" s="172"/>
      <c r="G39" s="148">
        <v>16413</v>
      </c>
      <c r="H39" s="150">
        <v>9736</v>
      </c>
      <c r="I39" s="150">
        <f t="shared" ref="I39:I48" si="3">G39+H39+J39+K39</f>
        <v>37402</v>
      </c>
      <c r="J39" s="151">
        <v>7489</v>
      </c>
      <c r="K39" s="175">
        <v>3764</v>
      </c>
      <c r="L39" s="113"/>
      <c r="M39" s="113"/>
      <c r="N39" s="170" t="s">
        <v>51</v>
      </c>
      <c r="O39" s="171"/>
      <c r="P39" s="171"/>
      <c r="Q39" s="106"/>
    </row>
    <row r="40" spans="1:18">
      <c r="D40" s="168"/>
      <c r="E40" s="168"/>
      <c r="F40" s="172"/>
      <c r="G40" s="148">
        <v>17058</v>
      </c>
      <c r="H40" s="150">
        <v>9048</v>
      </c>
      <c r="I40" s="150">
        <f t="shared" si="3"/>
        <v>37268</v>
      </c>
      <c r="J40" s="150">
        <v>7858</v>
      </c>
      <c r="K40" s="175">
        <v>3304</v>
      </c>
      <c r="N40" s="170"/>
      <c r="O40" s="171" t="s">
        <v>52</v>
      </c>
      <c r="P40" s="171"/>
    </row>
    <row r="41" customFormat="1" spans="1:18">
      <c r="A41" s="106" t="s">
        <v>53</v>
      </c>
      <c r="B41" s="106"/>
      <c r="C41" s="106"/>
      <c r="D41" s="168"/>
      <c r="E41" s="168"/>
      <c r="F41" s="172"/>
      <c r="G41" s="148">
        <v>15174</v>
      </c>
      <c r="H41" s="150">
        <v>9858</v>
      </c>
      <c r="I41" s="150">
        <f t="shared" si="3"/>
        <v>36835</v>
      </c>
      <c r="J41" s="150">
        <v>8010</v>
      </c>
      <c r="K41" s="175">
        <v>3793</v>
      </c>
      <c r="L41" s="113"/>
      <c r="M41" s="113"/>
      <c r="N41" s="170"/>
      <c r="O41" s="171"/>
      <c r="P41" s="171"/>
      <c r="Q41" s="106"/>
    </row>
    <row r="42" customFormat="1" spans="1:18">
      <c r="A42" s="106"/>
      <c r="B42" s="106"/>
      <c r="C42" s="106"/>
      <c r="D42" s="168"/>
      <c r="E42" s="168"/>
      <c r="F42" s="172" t="s">
        <v>54</v>
      </c>
      <c r="G42" s="148">
        <v>15389</v>
      </c>
      <c r="H42" s="150">
        <v>9944</v>
      </c>
      <c r="I42" s="150">
        <f t="shared" si="3"/>
        <v>35924</v>
      </c>
      <c r="J42" s="151">
        <v>7136</v>
      </c>
      <c r="K42" s="175">
        <v>3455</v>
      </c>
      <c r="L42" s="113"/>
      <c r="M42" s="113"/>
      <c r="N42" s="170"/>
      <c r="O42" s="171"/>
      <c r="P42" s="171"/>
      <c r="Q42" s="106"/>
    </row>
    <row r="43" customFormat="1" spans="1:18">
      <c r="A43" s="106"/>
      <c r="B43" s="106"/>
      <c r="C43" s="106"/>
      <c r="D43" s="168"/>
      <c r="E43" s="168"/>
      <c r="F43" s="172" t="s">
        <v>55</v>
      </c>
      <c r="G43" s="148">
        <v>15389</v>
      </c>
      <c r="H43" s="150">
        <v>9944</v>
      </c>
      <c r="I43" s="150">
        <f t="shared" si="3"/>
        <v>35924</v>
      </c>
      <c r="J43" s="151">
        <v>7136</v>
      </c>
      <c r="K43" s="175">
        <v>3455</v>
      </c>
      <c r="L43" s="113"/>
      <c r="M43" s="113"/>
      <c r="N43" s="170"/>
      <c r="O43" s="171"/>
      <c r="P43" s="171"/>
      <c r="Q43" s="106"/>
    </row>
    <row r="44" customFormat="1" spans="1:18">
      <c r="A44" s="106"/>
      <c r="B44" s="106"/>
      <c r="C44" s="106"/>
      <c r="D44" s="168"/>
      <c r="E44" s="168"/>
      <c r="F44" s="172"/>
      <c r="G44" s="148">
        <v>15744</v>
      </c>
      <c r="H44" s="150">
        <v>9047</v>
      </c>
      <c r="I44" s="150">
        <f t="shared" si="3"/>
        <v>35550</v>
      </c>
      <c r="J44" s="151">
        <v>7234</v>
      </c>
      <c r="K44" s="175">
        <v>3525</v>
      </c>
      <c r="L44" s="113"/>
      <c r="M44" s="113"/>
      <c r="N44" s="170" t="s">
        <v>56</v>
      </c>
      <c r="O44" s="171"/>
      <c r="P44" s="171"/>
      <c r="Q44" s="106"/>
    </row>
    <row r="45" spans="1:18">
      <c r="D45" s="168"/>
      <c r="E45" s="168"/>
      <c r="F45" s="172"/>
      <c r="G45" s="148">
        <v>16165</v>
      </c>
      <c r="H45" s="150">
        <v>7836</v>
      </c>
      <c r="I45" s="150">
        <f t="shared" si="3"/>
        <v>34936</v>
      </c>
      <c r="J45" s="150">
        <v>7727</v>
      </c>
      <c r="K45" s="175">
        <v>3208</v>
      </c>
      <c r="O45" s="171"/>
      <c r="P45" s="171">
        <v>6800</v>
      </c>
    </row>
    <row r="46" customFormat="1" spans="1:18">
      <c r="A46" s="106"/>
      <c r="B46" s="106"/>
      <c r="C46" s="106"/>
      <c r="D46" s="168" t="s">
        <v>57</v>
      </c>
      <c r="E46" s="168"/>
      <c r="F46" s="172"/>
      <c r="G46" s="149">
        <v>14863</v>
      </c>
      <c r="H46" s="150">
        <v>8863</v>
      </c>
      <c r="I46" s="150">
        <f t="shared" si="3"/>
        <v>34604</v>
      </c>
      <c r="J46" s="151">
        <v>7403</v>
      </c>
      <c r="K46" s="175">
        <v>3475</v>
      </c>
      <c r="L46" s="113"/>
      <c r="M46" s="113"/>
      <c r="N46" s="113"/>
      <c r="O46" s="171"/>
      <c r="P46" s="171"/>
      <c r="Q46" s="106"/>
      <c r="R46" s="4"/>
    </row>
    <row r="47" customFormat="1" spans="1:18">
      <c r="A47" s="106"/>
      <c r="B47" s="106"/>
      <c r="C47" s="168" t="s">
        <v>58</v>
      </c>
      <c r="D47" s="168"/>
      <c r="E47" s="168"/>
      <c r="F47" s="172"/>
      <c r="G47" s="149">
        <v>14664</v>
      </c>
      <c r="H47" s="150">
        <v>9114</v>
      </c>
      <c r="I47" s="150">
        <f t="shared" si="3"/>
        <v>34414</v>
      </c>
      <c r="J47" s="151">
        <v>7086</v>
      </c>
      <c r="K47" s="175">
        <v>3550</v>
      </c>
      <c r="L47" s="113"/>
      <c r="M47" s="113"/>
      <c r="N47" s="113"/>
      <c r="O47" s="171"/>
      <c r="P47" s="171"/>
      <c r="Q47" s="106"/>
      <c r="R47" s="4"/>
    </row>
    <row r="48" spans="1:18">
      <c r="C48" s="168"/>
      <c r="D48" s="168"/>
      <c r="E48" s="168"/>
      <c r="F48" s="172"/>
      <c r="G48" s="149">
        <v>14923</v>
      </c>
      <c r="H48" s="150">
        <v>7889</v>
      </c>
      <c r="I48" s="150">
        <f t="shared" si="3"/>
        <v>32989</v>
      </c>
      <c r="J48" s="151">
        <v>7113</v>
      </c>
      <c r="K48" s="175">
        <v>3064</v>
      </c>
      <c r="O48" s="171"/>
      <c r="P48" s="171"/>
      <c r="R48" s="89" t="s">
        <v>59</v>
      </c>
    </row>
    <row r="49" spans="1:19">
      <c r="A49" s="106" t="s">
        <v>60</v>
      </c>
      <c r="C49" s="168"/>
      <c r="D49" s="168"/>
      <c r="E49" s="168"/>
      <c r="F49" s="172"/>
      <c r="G49" s="149">
        <v>14423</v>
      </c>
      <c r="H49" s="150"/>
      <c r="I49" s="150"/>
      <c r="J49" s="151"/>
      <c r="K49" s="175"/>
      <c r="O49" s="171"/>
      <c r="P49" s="171"/>
      <c r="R49" s="89"/>
    </row>
    <row r="50" spans="1:19">
      <c r="C50" s="168"/>
      <c r="D50" s="168"/>
      <c r="E50" s="168"/>
      <c r="F50" s="172">
        <v>5060</v>
      </c>
      <c r="G50" s="149">
        <v>14104</v>
      </c>
      <c r="H50" s="150">
        <v>8873</v>
      </c>
      <c r="I50" s="150">
        <f>G50+H50+J50+K50</f>
        <v>32816</v>
      </c>
      <c r="J50" s="151">
        <v>6573</v>
      </c>
      <c r="K50" s="175">
        <v>3266</v>
      </c>
      <c r="O50" s="171"/>
      <c r="P50" s="171"/>
      <c r="R50" s="89"/>
    </row>
    <row r="51" spans="1:19">
      <c r="A51" s="106">
        <v>6000</v>
      </c>
      <c r="C51" s="168"/>
      <c r="D51" s="168"/>
      <c r="E51" s="168"/>
      <c r="F51" s="172"/>
      <c r="G51" s="149">
        <v>13833</v>
      </c>
      <c r="H51" s="150"/>
      <c r="I51" s="150"/>
      <c r="J51" s="151"/>
      <c r="K51" s="175"/>
      <c r="O51" s="171"/>
      <c r="P51" s="171"/>
      <c r="R51" s="89"/>
    </row>
    <row r="52" spans="1:19">
      <c r="C52" s="168"/>
      <c r="D52" s="168">
        <v>3070</v>
      </c>
      <c r="E52" s="168"/>
      <c r="F52" s="172"/>
      <c r="G52" s="149">
        <v>13640</v>
      </c>
      <c r="H52" s="150">
        <v>8303</v>
      </c>
      <c r="I52" s="150">
        <f t="shared" ref="I51:I75" si="4">G52+H52+J52+K52</f>
        <v>31891</v>
      </c>
      <c r="J52" s="151">
        <v>6786</v>
      </c>
      <c r="K52" s="175">
        <v>3162</v>
      </c>
      <c r="O52" s="171"/>
      <c r="P52" s="171"/>
      <c r="R52" s="89"/>
    </row>
    <row r="53" customFormat="1" spans="1:19">
      <c r="A53" s="106"/>
      <c r="B53" s="106"/>
      <c r="C53" s="168"/>
      <c r="D53" s="168"/>
      <c r="E53" s="168" t="s">
        <v>61</v>
      </c>
      <c r="F53" s="172"/>
      <c r="G53" s="149">
        <v>13508</v>
      </c>
      <c r="H53" s="150">
        <v>8166</v>
      </c>
      <c r="I53" s="150">
        <f t="shared" si="4"/>
        <v>30861</v>
      </c>
      <c r="J53" s="151">
        <v>6287</v>
      </c>
      <c r="K53" s="175">
        <v>2900</v>
      </c>
      <c r="L53" s="113"/>
      <c r="M53" s="113"/>
      <c r="N53" s="113"/>
      <c r="O53" s="171"/>
      <c r="P53" s="171"/>
      <c r="Q53" s="106"/>
      <c r="R53" s="89"/>
      <c r="S53" s="4"/>
    </row>
    <row r="54" customFormat="1" spans="1:19">
      <c r="A54" s="106"/>
      <c r="B54" s="106"/>
      <c r="C54" s="168"/>
      <c r="D54" s="168"/>
      <c r="E54" s="168" t="s">
        <v>62</v>
      </c>
      <c r="F54" s="172"/>
      <c r="G54" s="149">
        <v>13508</v>
      </c>
      <c r="H54" s="150">
        <v>8166</v>
      </c>
      <c r="I54" s="150">
        <f t="shared" si="4"/>
        <v>30861</v>
      </c>
      <c r="J54" s="151">
        <v>6287</v>
      </c>
      <c r="K54" s="175">
        <v>2900</v>
      </c>
      <c r="L54" s="113"/>
      <c r="M54" s="113"/>
      <c r="N54" s="113"/>
      <c r="O54" s="171"/>
      <c r="P54" s="171"/>
      <c r="Q54" s="106"/>
      <c r="R54" s="89"/>
      <c r="S54" s="4"/>
    </row>
    <row r="55" spans="1:19">
      <c r="C55" s="168"/>
      <c r="D55" s="168"/>
      <c r="E55" s="168"/>
      <c r="F55" s="172"/>
      <c r="G55" s="149">
        <v>13552</v>
      </c>
      <c r="H55" s="151">
        <v>7065</v>
      </c>
      <c r="I55" s="150">
        <f t="shared" si="4"/>
        <v>30108</v>
      </c>
      <c r="J55" s="151">
        <v>6515</v>
      </c>
      <c r="K55" s="175">
        <v>2976</v>
      </c>
      <c r="O55" s="171"/>
      <c r="P55" s="171"/>
      <c r="R55" s="89" t="s">
        <v>63</v>
      </c>
      <c r="S55" s="4"/>
    </row>
    <row r="56" spans="1:19">
      <c r="C56" s="168"/>
      <c r="D56" s="168"/>
      <c r="E56" s="168"/>
      <c r="F56" s="172"/>
      <c r="G56" s="149">
        <v>13539</v>
      </c>
      <c r="H56" s="151">
        <v>6283</v>
      </c>
      <c r="I56" s="151">
        <f t="shared" si="4"/>
        <v>28713</v>
      </c>
      <c r="J56" s="151">
        <v>6321</v>
      </c>
      <c r="K56" s="175">
        <v>2570</v>
      </c>
      <c r="O56" s="171"/>
      <c r="P56" s="171" t="s">
        <v>64</v>
      </c>
      <c r="R56" s="89"/>
      <c r="S56" s="4"/>
    </row>
    <row r="57" spans="1:19">
      <c r="A57" s="106" t="s">
        <v>65</v>
      </c>
      <c r="C57" s="168"/>
      <c r="D57" s="168"/>
      <c r="E57" s="168"/>
      <c r="F57" s="172"/>
      <c r="G57" s="149">
        <v>13185</v>
      </c>
      <c r="H57" s="151"/>
      <c r="I57" s="151"/>
      <c r="J57" s="151"/>
      <c r="K57" s="175"/>
      <c r="O57" s="171"/>
      <c r="P57" s="171"/>
      <c r="R57" s="89"/>
      <c r="S57" s="4"/>
    </row>
    <row r="58" customFormat="1" spans="1:19">
      <c r="A58" s="106"/>
      <c r="B58" s="106"/>
      <c r="C58" s="168"/>
      <c r="D58" s="168"/>
      <c r="E58" s="168"/>
      <c r="F58" s="172"/>
      <c r="G58" s="149">
        <v>12504</v>
      </c>
      <c r="H58" s="151">
        <v>6616</v>
      </c>
      <c r="I58" s="151">
        <f t="shared" si="4"/>
        <v>27834</v>
      </c>
      <c r="J58" s="151">
        <v>6109</v>
      </c>
      <c r="K58" s="175">
        <v>2605</v>
      </c>
      <c r="L58" s="113"/>
      <c r="M58" s="113"/>
      <c r="N58" s="113"/>
      <c r="O58" s="171"/>
      <c r="P58" s="171"/>
      <c r="Q58" s="106"/>
      <c r="R58" s="89" t="s">
        <v>66</v>
      </c>
      <c r="S58" s="4"/>
    </row>
    <row r="59" customFormat="1" spans="1:19">
      <c r="A59" s="106"/>
      <c r="B59" s="106"/>
      <c r="C59" s="168"/>
      <c r="D59" s="168" t="s">
        <v>67</v>
      </c>
      <c r="E59" s="168"/>
      <c r="F59" s="172"/>
      <c r="G59" s="149">
        <v>11711</v>
      </c>
      <c r="H59" s="151">
        <v>7187</v>
      </c>
      <c r="I59" s="151">
        <f t="shared" si="4"/>
        <v>27501</v>
      </c>
      <c r="J59" s="151">
        <v>5939</v>
      </c>
      <c r="K59" s="175">
        <v>2664</v>
      </c>
      <c r="L59" s="113"/>
      <c r="M59" s="113"/>
      <c r="N59" s="113"/>
      <c r="O59" s="171"/>
      <c r="P59" s="171"/>
      <c r="Q59" s="106"/>
      <c r="R59" s="89"/>
      <c r="S59" s="4"/>
    </row>
    <row r="60" customFormat="1" spans="1:19">
      <c r="A60" s="106"/>
      <c r="B60" s="106"/>
      <c r="C60" s="168"/>
      <c r="D60" s="168"/>
      <c r="E60" s="168"/>
      <c r="F60" s="172"/>
      <c r="G60" s="149">
        <v>12633</v>
      </c>
      <c r="H60" s="151">
        <v>6309</v>
      </c>
      <c r="I60" s="151">
        <f t="shared" si="4"/>
        <v>27231</v>
      </c>
      <c r="J60" s="151">
        <v>5874</v>
      </c>
      <c r="K60" s="176">
        <v>2415</v>
      </c>
      <c r="L60" s="113"/>
      <c r="M60" s="113"/>
      <c r="N60" s="113"/>
      <c r="O60" s="171"/>
      <c r="P60" s="171" t="s">
        <v>68</v>
      </c>
      <c r="Q60" s="106"/>
      <c r="R60" s="89"/>
      <c r="S60" s="4"/>
    </row>
    <row r="61" spans="1:19">
      <c r="C61" s="168"/>
      <c r="D61" s="168"/>
      <c r="E61" s="168"/>
      <c r="F61" s="172"/>
      <c r="G61" s="149">
        <v>12798</v>
      </c>
      <c r="H61" s="151">
        <v>5977</v>
      </c>
      <c r="I61" s="151">
        <f t="shared" si="4"/>
        <v>27199</v>
      </c>
      <c r="J61" s="151">
        <v>5966</v>
      </c>
      <c r="K61" s="176">
        <v>2458</v>
      </c>
      <c r="O61" s="171"/>
      <c r="P61" s="171" t="s">
        <v>69</v>
      </c>
      <c r="R61" s="89"/>
      <c r="S61" s="4"/>
    </row>
    <row r="62" spans="1:19">
      <c r="C62" s="168"/>
      <c r="D62" s="168"/>
      <c r="E62" s="168"/>
      <c r="F62" s="172"/>
      <c r="G62" s="149">
        <v>12749</v>
      </c>
      <c r="H62" s="151"/>
      <c r="I62" s="151"/>
      <c r="J62" s="151"/>
      <c r="K62" s="176"/>
      <c r="O62" s="171"/>
      <c r="P62" s="171"/>
      <c r="R62" s="89" t="s">
        <v>70</v>
      </c>
      <c r="S62" s="4"/>
    </row>
    <row r="63" spans="1:19">
      <c r="C63" s="168" t="s">
        <v>71</v>
      </c>
      <c r="D63" s="168"/>
      <c r="E63" s="168"/>
      <c r="F63" s="172"/>
      <c r="G63" s="149">
        <v>11628</v>
      </c>
      <c r="H63" s="151">
        <v>7005</v>
      </c>
      <c r="I63" s="151">
        <f t="shared" si="4"/>
        <v>26783</v>
      </c>
      <c r="J63" s="151">
        <v>5389</v>
      </c>
      <c r="K63" s="175">
        <v>2761</v>
      </c>
      <c r="O63" s="171"/>
      <c r="P63" s="171"/>
      <c r="R63" s="89"/>
      <c r="S63" s="4"/>
    </row>
    <row r="64" customFormat="1" spans="1:19">
      <c r="A64" s="106"/>
      <c r="B64" s="106"/>
      <c r="C64" s="168">
        <v>2080</v>
      </c>
      <c r="D64" s="168"/>
      <c r="E64" s="168"/>
      <c r="F64" s="172"/>
      <c r="G64" s="149">
        <v>11092</v>
      </c>
      <c r="H64" s="151">
        <v>6447</v>
      </c>
      <c r="I64" s="151">
        <f t="shared" si="4"/>
        <v>25299</v>
      </c>
      <c r="J64" s="151">
        <v>5157</v>
      </c>
      <c r="K64" s="175">
        <v>2603</v>
      </c>
      <c r="L64" s="113"/>
      <c r="M64" s="113"/>
      <c r="N64" s="113"/>
      <c r="O64" s="171"/>
      <c r="P64" s="171"/>
      <c r="Q64" s="106"/>
      <c r="R64" s="89"/>
      <c r="S64" s="4"/>
    </row>
    <row r="65" spans="1:19">
      <c r="C65" s="168"/>
      <c r="D65" s="168"/>
      <c r="E65" s="168"/>
      <c r="F65" s="172"/>
      <c r="G65" s="149">
        <v>11274</v>
      </c>
      <c r="H65" s="151"/>
      <c r="I65" s="151"/>
      <c r="J65" s="151"/>
      <c r="K65" s="177"/>
      <c r="O65" s="171" t="s">
        <v>72</v>
      </c>
      <c r="P65" s="171"/>
      <c r="R65" s="89"/>
      <c r="S65" s="4"/>
    </row>
    <row r="66" spans="1:19">
      <c r="C66" s="168"/>
      <c r="D66" s="168"/>
      <c r="E66" s="168"/>
      <c r="F66" s="172"/>
      <c r="G66" s="149">
        <v>11199</v>
      </c>
      <c r="H66" s="151"/>
      <c r="I66" s="151"/>
      <c r="J66" s="151"/>
      <c r="K66" s="177"/>
      <c r="O66" s="171"/>
      <c r="P66" s="171">
        <v>6700</v>
      </c>
      <c r="R66" s="89"/>
      <c r="S66" s="4"/>
    </row>
    <row r="67" spans="1:19">
      <c r="A67" s="106" t="s">
        <v>73</v>
      </c>
      <c r="C67" s="168"/>
      <c r="D67" s="168"/>
      <c r="E67" s="168"/>
      <c r="F67" s="172"/>
      <c r="G67" s="149">
        <v>11120</v>
      </c>
      <c r="H67" s="151"/>
      <c r="I67" s="151"/>
      <c r="J67" s="151"/>
      <c r="K67" s="177"/>
      <c r="O67" s="171"/>
      <c r="P67" s="171"/>
      <c r="R67" s="89"/>
      <c r="S67" s="4"/>
    </row>
    <row r="68" customFormat="1" spans="1:19">
      <c r="A68" s="106"/>
      <c r="B68" s="106"/>
      <c r="C68" s="168"/>
      <c r="D68" s="168"/>
      <c r="E68" s="168"/>
      <c r="F68" s="172"/>
      <c r="G68" s="149">
        <v>10984</v>
      </c>
      <c r="H68" s="151">
        <v>5651</v>
      </c>
      <c r="I68" s="151">
        <f t="shared" ref="I68:I72" si="5">G68+H68+J68+K68</f>
        <v>24153</v>
      </c>
      <c r="J68" s="151">
        <v>5228</v>
      </c>
      <c r="K68" s="176">
        <v>2290</v>
      </c>
      <c r="L68" s="113"/>
      <c r="M68" s="113"/>
      <c r="N68" s="113"/>
      <c r="O68" s="171">
        <v>7600</v>
      </c>
      <c r="P68" s="171"/>
      <c r="Q68" s="106"/>
      <c r="R68" s="89"/>
      <c r="S68" s="4"/>
    </row>
    <row r="69" customFormat="1" spans="1:19">
      <c r="A69" s="106"/>
      <c r="B69" s="106"/>
      <c r="C69" s="168"/>
      <c r="D69" s="168"/>
      <c r="E69" s="168"/>
      <c r="F69" s="172"/>
      <c r="G69" s="149">
        <v>10775</v>
      </c>
      <c r="H69" s="151">
        <v>5837</v>
      </c>
      <c r="I69" s="151">
        <f t="shared" si="5"/>
        <v>23981</v>
      </c>
      <c r="J69" s="151">
        <v>5075</v>
      </c>
      <c r="K69" s="176">
        <v>2294</v>
      </c>
      <c r="L69" s="113"/>
      <c r="M69" s="113"/>
      <c r="N69" s="113"/>
      <c r="O69" s="171" t="s">
        <v>74</v>
      </c>
      <c r="P69" s="171"/>
      <c r="Q69" s="106"/>
      <c r="R69" s="89"/>
      <c r="S69" s="4"/>
    </row>
    <row r="70" customFormat="1" spans="1:19">
      <c r="A70" s="106"/>
      <c r="B70" s="106"/>
      <c r="C70" s="168"/>
      <c r="D70" s="168"/>
      <c r="E70" s="168"/>
      <c r="F70" s="172"/>
      <c r="G70" s="149">
        <v>10721</v>
      </c>
      <c r="H70" s="151">
        <v>5551</v>
      </c>
      <c r="I70" s="151">
        <f t="shared" si="5"/>
        <v>23915</v>
      </c>
      <c r="J70" s="151">
        <v>5414</v>
      </c>
      <c r="K70" s="176">
        <v>2229</v>
      </c>
      <c r="L70" s="113"/>
      <c r="M70" s="113"/>
      <c r="N70" s="113"/>
      <c r="O70" s="106"/>
      <c r="P70" s="171"/>
      <c r="Q70" s="106"/>
      <c r="R70" s="89" t="s">
        <v>75</v>
      </c>
      <c r="S70" s="4"/>
    </row>
    <row r="71" spans="1:19">
      <c r="C71" s="168"/>
      <c r="D71" s="168"/>
      <c r="E71" s="168">
        <v>4060</v>
      </c>
      <c r="F71" s="172"/>
      <c r="G71" s="149">
        <v>10630</v>
      </c>
      <c r="H71" s="151">
        <v>5999</v>
      </c>
      <c r="I71" s="151">
        <f t="shared" si="5"/>
        <v>23865</v>
      </c>
      <c r="J71" s="175">
        <v>4947</v>
      </c>
      <c r="K71" s="176">
        <v>2289</v>
      </c>
      <c r="P71" s="171"/>
      <c r="R71" s="89"/>
      <c r="S71" s="4"/>
    </row>
    <row r="72" spans="1:19">
      <c r="C72" s="168"/>
      <c r="D72" s="168"/>
      <c r="E72" s="119"/>
      <c r="F72" s="172"/>
      <c r="G72" s="149">
        <v>11102</v>
      </c>
      <c r="H72" s="151">
        <v>5439</v>
      </c>
      <c r="I72" s="151">
        <f t="shared" si="5"/>
        <v>23560</v>
      </c>
      <c r="J72" s="175">
        <v>4984</v>
      </c>
      <c r="K72" s="176">
        <v>2035</v>
      </c>
      <c r="O72" s="119"/>
      <c r="P72" s="171" t="s">
        <v>76</v>
      </c>
      <c r="R72" s="89"/>
      <c r="S72" s="4"/>
    </row>
    <row r="73" spans="1:19">
      <c r="A73" s="106">
        <v>5000</v>
      </c>
      <c r="C73" s="168"/>
      <c r="D73" s="168"/>
      <c r="E73" s="119"/>
      <c r="F73" s="172"/>
      <c r="G73" s="149">
        <v>10697</v>
      </c>
      <c r="H73" s="151"/>
      <c r="I73" s="151"/>
      <c r="J73" s="178"/>
      <c r="K73" s="177"/>
      <c r="P73" s="171"/>
      <c r="R73" s="89"/>
      <c r="S73" s="4"/>
    </row>
    <row r="74" spans="1:19">
      <c r="C74" s="168"/>
      <c r="D74" s="168"/>
      <c r="E74" s="119"/>
      <c r="F74" s="172">
        <v>5050</v>
      </c>
      <c r="G74" s="149">
        <v>10513</v>
      </c>
      <c r="H74" s="151">
        <v>6114</v>
      </c>
      <c r="I74" s="151">
        <f>G74+H74+J74+K74</f>
        <v>23537</v>
      </c>
      <c r="J74" s="179">
        <v>4607</v>
      </c>
      <c r="K74" s="180">
        <v>2303</v>
      </c>
      <c r="P74" s="171"/>
      <c r="R74" s="89"/>
      <c r="S74" s="4"/>
    </row>
    <row r="75" spans="1:19">
      <c r="A75" s="106" t="s">
        <v>77</v>
      </c>
      <c r="C75" s="168"/>
      <c r="D75" s="168"/>
      <c r="G75" s="149">
        <v>10508</v>
      </c>
      <c r="H75" s="151"/>
      <c r="I75" s="151"/>
      <c r="J75" s="178"/>
      <c r="K75" s="177"/>
      <c r="P75" s="171"/>
      <c r="R75" s="89"/>
      <c r="S75" s="4"/>
    </row>
    <row r="76" spans="1:19">
      <c r="A76" s="106" t="s">
        <v>78</v>
      </c>
      <c r="C76" s="168"/>
      <c r="D76" s="168"/>
      <c r="G76" s="149">
        <v>10284</v>
      </c>
      <c r="H76" s="151"/>
      <c r="I76" s="151"/>
      <c r="J76" s="178"/>
      <c r="K76" s="177"/>
      <c r="P76" s="171"/>
      <c r="R76" s="89"/>
      <c r="S76" s="4"/>
    </row>
    <row r="77" spans="1:19">
      <c r="C77" s="168" t="s">
        <v>79</v>
      </c>
      <c r="D77" s="168"/>
      <c r="G77" s="149">
        <v>10177</v>
      </c>
      <c r="H77" s="151">
        <v>6038</v>
      </c>
      <c r="I77" s="151">
        <f t="shared" ref="I77:I85" si="6">G77+H77+J77+K77</f>
        <v>23406</v>
      </c>
      <c r="J77" s="175">
        <v>4772</v>
      </c>
      <c r="K77" s="176">
        <v>2419</v>
      </c>
      <c r="P77" s="171"/>
      <c r="R77" s="89"/>
      <c r="S77" s="4"/>
    </row>
    <row r="78" customFormat="1" spans="1:19">
      <c r="A78" s="106"/>
      <c r="B78" s="119"/>
      <c r="C78" s="168"/>
      <c r="D78" s="168"/>
      <c r="E78" s="106"/>
      <c r="F78" s="113"/>
      <c r="G78" s="150">
        <v>9958</v>
      </c>
      <c r="H78" s="175">
        <v>4658</v>
      </c>
      <c r="I78" s="151">
        <f t="shared" si="6"/>
        <v>21062</v>
      </c>
      <c r="J78" s="175">
        <v>4572</v>
      </c>
      <c r="K78" s="176">
        <v>1874</v>
      </c>
      <c r="L78" s="113"/>
      <c r="M78" s="113"/>
      <c r="N78" s="113"/>
      <c r="O78" s="106"/>
      <c r="P78" s="171" t="s">
        <v>80</v>
      </c>
      <c r="Q78" s="106"/>
      <c r="R78" s="89"/>
      <c r="S78" s="4"/>
    </row>
    <row r="79" customFormat="1" spans="1:19">
      <c r="A79" s="106"/>
      <c r="B79" s="119"/>
      <c r="C79" s="168">
        <v>2070</v>
      </c>
      <c r="D79" s="168"/>
      <c r="E79" s="106"/>
      <c r="F79" s="113"/>
      <c r="G79" s="150">
        <v>9108</v>
      </c>
      <c r="H79" s="151">
        <v>5189</v>
      </c>
      <c r="I79" s="151">
        <f t="shared" si="6"/>
        <v>20720</v>
      </c>
      <c r="J79" s="175">
        <v>4319</v>
      </c>
      <c r="K79" s="176">
        <v>2104</v>
      </c>
      <c r="L79" s="113"/>
      <c r="M79" s="113"/>
      <c r="N79" s="113"/>
      <c r="O79" s="106"/>
      <c r="P79" s="171"/>
      <c r="Q79" s="119"/>
      <c r="R79" s="89"/>
      <c r="S79" s="4"/>
    </row>
    <row r="80" customFormat="1" spans="1:19">
      <c r="A80" s="106"/>
      <c r="B80" s="119"/>
      <c r="C80" s="168"/>
      <c r="D80" s="168"/>
      <c r="E80" s="106"/>
      <c r="F80" s="113"/>
      <c r="G80" s="150">
        <v>9672</v>
      </c>
      <c r="H80" s="175">
        <v>4514</v>
      </c>
      <c r="I80" s="151">
        <f t="shared" si="6"/>
        <v>20420</v>
      </c>
      <c r="J80" s="175">
        <v>4417</v>
      </c>
      <c r="K80" s="176">
        <v>1817</v>
      </c>
      <c r="L80" s="113"/>
      <c r="M80" s="113"/>
      <c r="N80" s="113"/>
      <c r="O80" s="106"/>
      <c r="P80" s="171" t="s">
        <v>81</v>
      </c>
      <c r="Q80" s="119"/>
      <c r="R80" s="89"/>
      <c r="S80" s="4"/>
    </row>
    <row r="81" customFormat="1" spans="1:19">
      <c r="A81" s="106"/>
      <c r="B81" s="119"/>
      <c r="C81" s="168"/>
      <c r="D81" s="168" t="s">
        <v>82</v>
      </c>
      <c r="E81" s="106"/>
      <c r="F81" s="113"/>
      <c r="G81" s="150">
        <v>8924</v>
      </c>
      <c r="H81" s="151">
        <v>5141</v>
      </c>
      <c r="I81" s="151">
        <f t="shared" si="6"/>
        <v>20121</v>
      </c>
      <c r="J81" s="175">
        <v>4096</v>
      </c>
      <c r="K81" s="176">
        <v>1960</v>
      </c>
      <c r="L81" s="113"/>
      <c r="M81" s="113"/>
      <c r="N81" s="113"/>
      <c r="O81" s="106"/>
      <c r="P81" s="171"/>
      <c r="Q81" s="119"/>
      <c r="R81" s="89"/>
      <c r="S81" s="4"/>
    </row>
    <row r="82" customFormat="1" spans="1:19">
      <c r="A82" s="106"/>
      <c r="B82" s="119"/>
      <c r="C82" s="168"/>
      <c r="D82" s="168" t="s">
        <v>83</v>
      </c>
      <c r="E82" s="106"/>
      <c r="F82" s="113"/>
      <c r="G82" s="150">
        <v>8783</v>
      </c>
      <c r="H82" s="151">
        <v>5141</v>
      </c>
      <c r="I82" s="175">
        <f t="shared" si="6"/>
        <v>19980</v>
      </c>
      <c r="J82" s="175">
        <v>4096</v>
      </c>
      <c r="K82" s="176">
        <v>1960</v>
      </c>
      <c r="L82" s="113"/>
      <c r="M82" s="113"/>
      <c r="N82" s="113"/>
      <c r="O82" s="106"/>
      <c r="P82" s="171"/>
      <c r="Q82" s="119"/>
      <c r="R82" s="89"/>
      <c r="S82" s="4"/>
    </row>
    <row r="83" customFormat="1" spans="1:19">
      <c r="A83" s="106"/>
      <c r="B83" s="119"/>
      <c r="C83" s="168" t="s">
        <v>84</v>
      </c>
      <c r="D83" s="168"/>
      <c r="E83" s="106"/>
      <c r="F83" s="113"/>
      <c r="G83" s="150">
        <v>8752</v>
      </c>
      <c r="H83" s="151">
        <v>5071</v>
      </c>
      <c r="I83" s="175">
        <f t="shared" si="6"/>
        <v>19980</v>
      </c>
      <c r="J83" s="175">
        <v>4142</v>
      </c>
      <c r="K83" s="176">
        <v>2015</v>
      </c>
      <c r="L83" s="113"/>
      <c r="M83" s="113"/>
      <c r="N83" s="113"/>
      <c r="O83" s="106"/>
      <c r="P83" s="171"/>
      <c r="Q83" s="119"/>
      <c r="R83" s="89"/>
      <c r="S83" s="4"/>
    </row>
    <row r="84" spans="1:19">
      <c r="B84" s="168" t="s">
        <v>85</v>
      </c>
      <c r="C84" s="168"/>
      <c r="D84" s="168"/>
      <c r="G84" s="150">
        <v>9988</v>
      </c>
      <c r="H84" s="176">
        <v>2212</v>
      </c>
      <c r="I84" s="175">
        <f t="shared" si="6"/>
        <v>19134</v>
      </c>
      <c r="J84" s="175">
        <v>4706</v>
      </c>
      <c r="K84" s="176">
        <v>2228</v>
      </c>
      <c r="P84" s="171"/>
      <c r="Q84" s="119"/>
      <c r="R84" s="89"/>
      <c r="S84" s="4"/>
    </row>
    <row r="85" spans="1:19">
      <c r="B85" s="168"/>
      <c r="C85" s="168" t="s">
        <v>86</v>
      </c>
      <c r="D85" s="168"/>
      <c r="G85" s="150">
        <v>8025</v>
      </c>
      <c r="H85" s="151">
        <v>5011</v>
      </c>
      <c r="I85" s="175">
        <f t="shared" si="6"/>
        <v>18472</v>
      </c>
      <c r="J85" s="175">
        <v>3600</v>
      </c>
      <c r="K85" s="176">
        <v>1836</v>
      </c>
      <c r="P85" s="171"/>
      <c r="Q85" s="119"/>
      <c r="R85" s="89"/>
      <c r="S85" s="4"/>
    </row>
    <row r="86" spans="1:19">
      <c r="B86" s="168"/>
      <c r="C86" s="168"/>
      <c r="D86" s="168" t="s">
        <v>87</v>
      </c>
      <c r="G86" s="151">
        <v>7361</v>
      </c>
      <c r="H86" s="175">
        <v>4708</v>
      </c>
      <c r="I86" s="175">
        <f t="shared" ref="I86:I91" si="7">G86+H86+J86+K86</f>
        <v>17842</v>
      </c>
      <c r="J86" s="175">
        <v>3951</v>
      </c>
      <c r="K86" s="176">
        <v>1822</v>
      </c>
      <c r="P86" s="171"/>
      <c r="Q86" s="119"/>
      <c r="R86" s="89"/>
      <c r="S86" s="4"/>
    </row>
    <row r="87" spans="1:19">
      <c r="B87" s="168"/>
      <c r="C87" s="168"/>
      <c r="D87" s="168"/>
      <c r="G87" s="150">
        <v>8130</v>
      </c>
      <c r="H87" s="175">
        <v>3757</v>
      </c>
      <c r="I87" s="175">
        <f t="shared" si="7"/>
        <v>17107</v>
      </c>
      <c r="J87" s="175">
        <v>3716</v>
      </c>
      <c r="K87" s="176">
        <v>1504</v>
      </c>
      <c r="P87" s="171">
        <v>6600</v>
      </c>
      <c r="Q87" s="119"/>
      <c r="R87" s="89"/>
      <c r="S87" s="4"/>
    </row>
    <row r="88" spans="1:19">
      <c r="B88" s="168"/>
      <c r="C88" s="168">
        <v>2060</v>
      </c>
      <c r="D88" s="168"/>
      <c r="G88" s="150">
        <v>7583</v>
      </c>
      <c r="H88" s="175">
        <v>4146</v>
      </c>
      <c r="I88" s="175">
        <f t="shared" si="7"/>
        <v>16967</v>
      </c>
      <c r="J88" s="175">
        <v>3515</v>
      </c>
      <c r="K88" s="176">
        <v>1723</v>
      </c>
      <c r="P88" s="171"/>
      <c r="Q88" s="119"/>
      <c r="R88" s="89"/>
      <c r="S88" s="4"/>
    </row>
    <row r="89" spans="1:19">
      <c r="B89" s="168"/>
      <c r="C89" s="168"/>
      <c r="D89" s="168"/>
      <c r="G89" s="150">
        <v>9428</v>
      </c>
      <c r="H89" s="181">
        <v>0</v>
      </c>
      <c r="I89" s="175">
        <f t="shared" si="7"/>
        <v>15979</v>
      </c>
      <c r="J89" s="175">
        <v>4396</v>
      </c>
      <c r="K89" s="176">
        <v>2155</v>
      </c>
      <c r="P89" s="171"/>
      <c r="Q89" s="171" t="s">
        <v>88</v>
      </c>
      <c r="R89" s="89"/>
      <c r="S89" s="4"/>
    </row>
    <row r="90" spans="1:19">
      <c r="B90" s="168">
        <v>1080</v>
      </c>
      <c r="C90" s="168"/>
      <c r="D90" s="168"/>
      <c r="G90" s="150">
        <v>7597</v>
      </c>
      <c r="H90" s="176">
        <v>1639</v>
      </c>
      <c r="I90" s="175">
        <f t="shared" si="7"/>
        <v>14303</v>
      </c>
      <c r="J90" s="175">
        <v>3441</v>
      </c>
      <c r="K90" s="176">
        <v>1626</v>
      </c>
      <c r="P90" s="171"/>
      <c r="Q90" s="171"/>
      <c r="R90" s="89"/>
      <c r="S90" s="4"/>
    </row>
    <row r="91" customFormat="1" spans="1:19">
      <c r="A91" s="106"/>
      <c r="B91" s="168"/>
      <c r="C91" s="168"/>
      <c r="D91" s="168"/>
      <c r="E91" s="106"/>
      <c r="F91" s="113"/>
      <c r="G91" s="150">
        <v>8295</v>
      </c>
      <c r="H91" s="181">
        <v>0</v>
      </c>
      <c r="I91" s="175">
        <f t="shared" si="7"/>
        <v>14298</v>
      </c>
      <c r="J91" s="175">
        <v>3963</v>
      </c>
      <c r="K91" s="176">
        <v>2040</v>
      </c>
      <c r="L91" s="113"/>
      <c r="M91" s="113"/>
      <c r="N91" s="113"/>
      <c r="O91" s="106"/>
      <c r="P91" s="171"/>
      <c r="Q91" s="171"/>
      <c r="R91" s="89"/>
      <c r="S91" s="12" t="s">
        <v>89</v>
      </c>
    </row>
    <row r="92" spans="1:19">
      <c r="B92" s="168"/>
      <c r="C92" s="168"/>
      <c r="D92" s="168"/>
      <c r="G92" s="150">
        <v>8369</v>
      </c>
      <c r="H92" s="181">
        <v>0</v>
      </c>
      <c r="I92" s="175">
        <f t="shared" ref="I92:I122" si="8">G92+H92+J92+K92</f>
        <v>14239</v>
      </c>
      <c r="J92" s="175">
        <v>3994</v>
      </c>
      <c r="K92" s="176">
        <v>1876</v>
      </c>
      <c r="P92" s="171"/>
      <c r="Q92" s="171">
        <v>5700</v>
      </c>
      <c r="R92" s="89"/>
      <c r="S92" s="4"/>
    </row>
    <row r="93" spans="1:19">
      <c r="B93" s="168"/>
      <c r="C93" s="168"/>
      <c r="D93" s="168">
        <v>3050</v>
      </c>
      <c r="G93" s="151">
        <v>6216</v>
      </c>
      <c r="H93" s="175">
        <v>3531</v>
      </c>
      <c r="I93" s="175">
        <f t="shared" si="8"/>
        <v>13899</v>
      </c>
      <c r="J93" s="175">
        <v>2825</v>
      </c>
      <c r="K93" s="176">
        <v>1327</v>
      </c>
      <c r="P93" s="171"/>
      <c r="Q93" s="171"/>
      <c r="R93" s="89"/>
      <c r="S93" s="4"/>
    </row>
    <row r="94" spans="1:19">
      <c r="B94" s="168" t="s">
        <v>90</v>
      </c>
      <c r="C94" s="168"/>
      <c r="D94" s="168"/>
      <c r="G94" s="151">
        <v>6846</v>
      </c>
      <c r="H94" s="176">
        <v>1506</v>
      </c>
      <c r="I94" s="175">
        <f t="shared" si="8"/>
        <v>12969</v>
      </c>
      <c r="J94" s="175">
        <v>3149</v>
      </c>
      <c r="K94" s="176">
        <v>1468</v>
      </c>
      <c r="P94" s="171"/>
      <c r="Q94" s="171"/>
      <c r="R94" s="89"/>
      <c r="S94" s="4"/>
    </row>
    <row r="95" spans="1:19">
      <c r="B95" s="168"/>
      <c r="C95" s="168"/>
      <c r="D95" s="168"/>
      <c r="G95" s="150">
        <v>7633</v>
      </c>
      <c r="H95" s="181">
        <v>0</v>
      </c>
      <c r="I95" s="175">
        <f t="shared" si="8"/>
        <v>12863</v>
      </c>
      <c r="J95" s="175">
        <v>3561</v>
      </c>
      <c r="K95" s="176">
        <v>1669</v>
      </c>
      <c r="P95" s="171"/>
      <c r="Q95" s="171" t="s">
        <v>91</v>
      </c>
      <c r="R95" s="89"/>
      <c r="S95" s="4"/>
    </row>
    <row r="96" spans="1:19">
      <c r="B96" s="168"/>
      <c r="C96" s="168" t="s">
        <v>92</v>
      </c>
      <c r="D96" s="168"/>
      <c r="G96" s="151">
        <v>6353</v>
      </c>
      <c r="H96" s="176">
        <v>1658</v>
      </c>
      <c r="I96" s="175">
        <f t="shared" si="8"/>
        <v>12200</v>
      </c>
      <c r="J96" s="175">
        <v>2884</v>
      </c>
      <c r="K96" s="176">
        <v>1305</v>
      </c>
      <c r="P96" s="171"/>
      <c r="Q96" s="171"/>
      <c r="R96" s="89"/>
      <c r="S96" s="4"/>
    </row>
    <row r="97" spans="2:19">
      <c r="B97" s="168"/>
      <c r="C97" s="168" t="s">
        <v>93</v>
      </c>
      <c r="D97" s="168"/>
      <c r="G97" s="151">
        <v>6054</v>
      </c>
      <c r="H97" s="176">
        <v>1561</v>
      </c>
      <c r="I97" s="175">
        <f t="shared" si="8"/>
        <v>11699</v>
      </c>
      <c r="J97" s="175">
        <v>2803</v>
      </c>
      <c r="K97" s="176">
        <v>1281</v>
      </c>
      <c r="P97" s="171"/>
      <c r="Q97" s="171"/>
      <c r="R97" s="89"/>
      <c r="S97" s="4"/>
    </row>
    <row r="98" spans="2:19">
      <c r="B98" s="168">
        <v>1070</v>
      </c>
      <c r="C98" s="168"/>
      <c r="D98" s="168"/>
      <c r="G98" s="151">
        <v>6093</v>
      </c>
      <c r="H98" s="176">
        <v>1250</v>
      </c>
      <c r="I98" s="175">
        <f t="shared" si="8"/>
        <v>11529</v>
      </c>
      <c r="J98" s="175">
        <v>2847</v>
      </c>
      <c r="K98" s="176">
        <v>1339</v>
      </c>
      <c r="P98" s="171"/>
      <c r="Q98" s="171"/>
      <c r="R98" s="89"/>
      <c r="S98" s="4"/>
    </row>
    <row r="99" spans="2:19">
      <c r="B99" s="168"/>
      <c r="C99" s="168">
        <v>1660</v>
      </c>
      <c r="D99" s="168"/>
      <c r="G99" s="151">
        <v>5447</v>
      </c>
      <c r="H99" s="176">
        <v>1400</v>
      </c>
      <c r="I99" s="175">
        <f t="shared" si="8"/>
        <v>10377</v>
      </c>
      <c r="J99" s="176">
        <v>2466</v>
      </c>
      <c r="K99" s="176">
        <v>1064</v>
      </c>
      <c r="P99" s="171"/>
      <c r="Q99" s="171"/>
      <c r="R99" s="89"/>
      <c r="S99" s="4"/>
    </row>
    <row r="100" spans="2:19">
      <c r="B100" s="168"/>
      <c r="C100" s="168"/>
      <c r="D100" s="168" t="s">
        <v>94</v>
      </c>
      <c r="G100" s="175">
        <v>4832</v>
      </c>
      <c r="H100" s="176">
        <v>2303</v>
      </c>
      <c r="I100" s="175">
        <f t="shared" si="8"/>
        <v>10207</v>
      </c>
      <c r="J100" s="176">
        <v>2108</v>
      </c>
      <c r="K100" s="181">
        <v>964</v>
      </c>
      <c r="P100" s="171"/>
      <c r="Q100" s="171"/>
      <c r="R100" s="89"/>
      <c r="S100" s="4"/>
    </row>
    <row r="101" spans="2:19">
      <c r="B101" s="168"/>
      <c r="C101" s="168"/>
      <c r="D101" s="119"/>
      <c r="G101" s="175">
        <v>4961</v>
      </c>
      <c r="H101" s="181">
        <v>369</v>
      </c>
      <c r="I101" s="176">
        <f t="shared" si="8"/>
        <v>8617</v>
      </c>
      <c r="J101" s="176">
        <v>2288</v>
      </c>
      <c r="K101" s="181">
        <v>999</v>
      </c>
      <c r="P101" s="171" t="s">
        <v>95</v>
      </c>
      <c r="Q101" s="171"/>
      <c r="R101" s="89"/>
      <c r="S101" s="4"/>
    </row>
    <row r="102" spans="2:19">
      <c r="B102" s="168"/>
      <c r="C102" s="168"/>
      <c r="D102" s="119"/>
      <c r="G102" s="175">
        <v>4860</v>
      </c>
      <c r="H102" s="181">
        <v>0</v>
      </c>
      <c r="I102" s="176">
        <f t="shared" si="8"/>
        <v>7987</v>
      </c>
      <c r="J102" s="176">
        <v>2142</v>
      </c>
      <c r="K102" s="181">
        <v>985</v>
      </c>
      <c r="P102" s="171"/>
      <c r="Q102" s="171" t="s">
        <v>96</v>
      </c>
      <c r="R102" s="89"/>
      <c r="S102" s="4"/>
    </row>
    <row r="103" spans="2:19">
      <c r="B103" s="168"/>
      <c r="C103" s="168"/>
      <c r="G103" s="175">
        <v>4358</v>
      </c>
      <c r="H103" s="176">
        <v>1573</v>
      </c>
      <c r="I103" s="176">
        <f t="shared" si="8"/>
        <v>8870</v>
      </c>
      <c r="J103" s="176">
        <v>2033</v>
      </c>
      <c r="K103" s="181">
        <v>906</v>
      </c>
      <c r="P103" s="171"/>
      <c r="Q103" s="171"/>
      <c r="R103" s="89" t="s">
        <v>97</v>
      </c>
      <c r="S103" s="4"/>
    </row>
    <row r="104" spans="2:19">
      <c r="B104" s="168"/>
      <c r="C104" s="168"/>
      <c r="G104" s="175">
        <v>4791</v>
      </c>
      <c r="H104" s="181">
        <v>0</v>
      </c>
      <c r="I104" s="176">
        <f t="shared" si="8"/>
        <v>7849</v>
      </c>
      <c r="J104" s="176">
        <v>2099</v>
      </c>
      <c r="K104" s="181">
        <v>959</v>
      </c>
      <c r="P104" s="171"/>
      <c r="Q104" s="171">
        <v>5500</v>
      </c>
      <c r="S104" s="4"/>
    </row>
    <row r="105" spans="2:19">
      <c r="B105" s="168" t="s">
        <v>98</v>
      </c>
      <c r="C105" s="168"/>
      <c r="G105" s="175">
        <v>4203</v>
      </c>
      <c r="H105" s="181">
        <v>817</v>
      </c>
      <c r="I105" s="176">
        <f t="shared" si="8"/>
        <v>7844</v>
      </c>
      <c r="J105" s="176">
        <v>1918</v>
      </c>
      <c r="K105" s="181">
        <v>906</v>
      </c>
      <c r="P105" s="171"/>
      <c r="Q105" s="171"/>
      <c r="S105" s="4"/>
    </row>
    <row r="106" spans="2:19">
      <c r="B106" s="168"/>
      <c r="C106" s="168"/>
      <c r="G106" s="175">
        <v>4779</v>
      </c>
      <c r="H106" s="181">
        <v>0</v>
      </c>
      <c r="I106" s="176">
        <f t="shared" si="8"/>
        <v>7808</v>
      </c>
      <c r="J106" s="176">
        <v>2087</v>
      </c>
      <c r="K106" s="181">
        <v>942</v>
      </c>
      <c r="P106" s="171"/>
      <c r="Q106" s="171">
        <v>590</v>
      </c>
      <c r="S106" s="4"/>
    </row>
    <row r="107" spans="2:19">
      <c r="B107" s="168"/>
      <c r="C107" s="168" t="s">
        <v>99</v>
      </c>
      <c r="G107" s="175">
        <v>4698</v>
      </c>
      <c r="H107" s="181">
        <v>0</v>
      </c>
      <c r="I107" s="176">
        <f t="shared" si="8"/>
        <v>7772</v>
      </c>
      <c r="J107" s="176">
        <v>2071</v>
      </c>
      <c r="K107" s="176">
        <v>1003</v>
      </c>
      <c r="P107" s="171"/>
      <c r="Q107" s="171"/>
      <c r="S107" s="4"/>
    </row>
    <row r="108" spans="2:19">
      <c r="B108" s="168"/>
      <c r="C108" s="168"/>
      <c r="G108" s="175">
        <v>4354</v>
      </c>
      <c r="H108" s="181">
        <v>0</v>
      </c>
      <c r="I108" s="176">
        <f t="shared" si="8"/>
        <v>7303</v>
      </c>
      <c r="J108" s="176">
        <v>1946</v>
      </c>
      <c r="K108" s="176">
        <v>1003</v>
      </c>
      <c r="P108" s="171"/>
      <c r="Q108" s="171">
        <v>580</v>
      </c>
    </row>
    <row r="109" spans="2:19">
      <c r="B109" s="168" t="s">
        <v>100</v>
      </c>
      <c r="C109" s="168"/>
      <c r="G109" s="175">
        <v>3907</v>
      </c>
      <c r="H109" s="181">
        <v>0</v>
      </c>
      <c r="I109" s="176">
        <f t="shared" si="8"/>
        <v>6477</v>
      </c>
      <c r="J109" s="176">
        <v>1759</v>
      </c>
      <c r="K109" s="181">
        <v>811</v>
      </c>
      <c r="P109" s="171"/>
      <c r="Q109" s="171"/>
    </row>
    <row r="110" spans="2:19">
      <c r="B110" s="168"/>
      <c r="C110" s="168"/>
      <c r="G110" s="175">
        <v>3854</v>
      </c>
      <c r="H110" s="181">
        <v>0</v>
      </c>
      <c r="I110" s="176">
        <f t="shared" si="8"/>
        <v>6152</v>
      </c>
      <c r="J110" s="176">
        <v>1697</v>
      </c>
      <c r="K110" s="181">
        <v>601</v>
      </c>
      <c r="P110" s="171"/>
      <c r="Q110" s="171">
        <v>570</v>
      </c>
    </row>
    <row r="111" spans="2:19">
      <c r="B111" s="168" t="s">
        <v>101</v>
      </c>
      <c r="C111" s="168"/>
      <c r="G111" s="175">
        <v>3865</v>
      </c>
      <c r="H111" s="181">
        <v>0</v>
      </c>
      <c r="I111" s="176">
        <f t="shared" si="8"/>
        <v>5801</v>
      </c>
      <c r="J111" s="176">
        <v>1777</v>
      </c>
      <c r="K111" s="181">
        <v>159</v>
      </c>
      <c r="P111" s="171"/>
      <c r="Q111" s="171"/>
    </row>
    <row r="112" spans="2:19">
      <c r="B112" s="168"/>
      <c r="C112" s="168"/>
      <c r="G112" s="175">
        <v>3593</v>
      </c>
      <c r="H112" s="181">
        <v>268</v>
      </c>
      <c r="I112" s="176">
        <f t="shared" si="8"/>
        <v>5696</v>
      </c>
      <c r="J112" s="176">
        <v>1659</v>
      </c>
      <c r="K112" s="181">
        <v>176</v>
      </c>
      <c r="P112" s="171">
        <v>6400</v>
      </c>
      <c r="Q112" s="171"/>
    </row>
    <row r="113" spans="2:17">
      <c r="B113" s="168"/>
      <c r="C113" s="168">
        <v>1650</v>
      </c>
      <c r="G113" s="175">
        <v>3567</v>
      </c>
      <c r="H113" s="181">
        <v>0</v>
      </c>
      <c r="I113" s="176">
        <f t="shared" si="8"/>
        <v>5494</v>
      </c>
      <c r="J113" s="176">
        <v>1595</v>
      </c>
      <c r="K113" s="181">
        <v>332</v>
      </c>
      <c r="P113" s="171"/>
      <c r="Q113" s="171"/>
    </row>
    <row r="114" spans="2:17">
      <c r="B114" s="168"/>
      <c r="C114" s="168"/>
      <c r="G114" s="175">
        <v>3555</v>
      </c>
      <c r="H114" s="181">
        <v>0</v>
      </c>
      <c r="I114" s="176">
        <f t="shared" si="8"/>
        <v>5328</v>
      </c>
      <c r="J114" s="176">
        <v>1341</v>
      </c>
      <c r="K114" s="181">
        <v>432</v>
      </c>
      <c r="P114" s="171"/>
      <c r="Q114" s="171" t="s">
        <v>102</v>
      </c>
    </row>
    <row r="115" spans="2:17">
      <c r="B115" s="168" t="s">
        <v>103</v>
      </c>
      <c r="C115" s="168"/>
      <c r="G115" s="176">
        <v>2354</v>
      </c>
      <c r="H115" s="181">
        <v>0</v>
      </c>
      <c r="I115" s="181">
        <f t="shared" si="8"/>
        <v>3751</v>
      </c>
      <c r="J115" s="176">
        <v>1095</v>
      </c>
      <c r="K115" s="181">
        <v>302</v>
      </c>
      <c r="P115" s="171"/>
      <c r="Q115" s="171"/>
    </row>
    <row r="116" spans="2:17">
      <c r="B116" s="168"/>
      <c r="C116" s="168"/>
      <c r="G116" s="176">
        <v>2307</v>
      </c>
      <c r="H116" s="181">
        <v>0</v>
      </c>
      <c r="I116" s="181">
        <f t="shared" si="8"/>
        <v>3608</v>
      </c>
      <c r="J116" s="181">
        <v>989</v>
      </c>
      <c r="K116" s="181">
        <v>312</v>
      </c>
      <c r="P116" s="171">
        <v>6300</v>
      </c>
      <c r="Q116" s="171"/>
    </row>
    <row r="117" spans="2:17">
      <c r="B117" s="168"/>
      <c r="C117" s="168">
        <v>1630</v>
      </c>
      <c r="G117" s="176">
        <v>2099</v>
      </c>
      <c r="H117" s="181">
        <v>0</v>
      </c>
      <c r="I117" s="181">
        <f t="shared" si="8"/>
        <v>3343</v>
      </c>
      <c r="J117" s="181">
        <v>955</v>
      </c>
      <c r="K117" s="181">
        <v>289</v>
      </c>
      <c r="Q117" s="171"/>
    </row>
    <row r="118" spans="2:17">
      <c r="B118" s="168"/>
      <c r="G118" s="176">
        <v>1860</v>
      </c>
      <c r="H118" s="181">
        <v>0</v>
      </c>
      <c r="I118" s="181">
        <f t="shared" si="8"/>
        <v>2892</v>
      </c>
      <c r="J118" s="181">
        <v>765</v>
      </c>
      <c r="K118" s="181">
        <v>267</v>
      </c>
      <c r="Q118" s="171">
        <v>560</v>
      </c>
    </row>
    <row r="119" spans="2:17">
      <c r="B119" s="168">
        <v>1050</v>
      </c>
      <c r="G119" s="176">
        <v>1731</v>
      </c>
      <c r="H119" s="181">
        <v>0</v>
      </c>
      <c r="I119" s="181">
        <f t="shared" si="8"/>
        <v>2273</v>
      </c>
      <c r="J119" s="181">
        <v>419</v>
      </c>
      <c r="K119" s="181">
        <v>123</v>
      </c>
      <c r="Q119" s="171"/>
    </row>
    <row r="120" spans="2:17">
      <c r="B120" s="168"/>
      <c r="G120" s="176">
        <v>1194</v>
      </c>
      <c r="H120" s="181">
        <v>0</v>
      </c>
      <c r="I120" s="181">
        <f t="shared" si="8"/>
        <v>1561</v>
      </c>
      <c r="J120" s="181">
        <v>278</v>
      </c>
      <c r="K120" s="181">
        <v>89</v>
      </c>
      <c r="Q120" s="171">
        <v>550</v>
      </c>
    </row>
    <row r="121" spans="2:17">
      <c r="B121" s="168">
        <v>1030</v>
      </c>
      <c r="G121" s="176">
        <v>1087</v>
      </c>
      <c r="H121" s="181">
        <v>0</v>
      </c>
      <c r="I121" s="181">
        <f t="shared" si="8"/>
        <v>1290</v>
      </c>
      <c r="J121" s="181">
        <v>171</v>
      </c>
      <c r="K121" s="181">
        <v>32</v>
      </c>
    </row>
    <row r="122" spans="2:17">
      <c r="B122" s="168">
        <v>1010</v>
      </c>
      <c r="G122" s="181">
        <v>530</v>
      </c>
      <c r="H122" s="181">
        <v>0</v>
      </c>
      <c r="I122" s="181">
        <f t="shared" si="8"/>
        <v>553</v>
      </c>
      <c r="J122" s="181">
        <v>23</v>
      </c>
      <c r="K122" s="181">
        <v>0</v>
      </c>
    </row>
    <row r="123" spans="2:17">
      <c r="H123" s="182"/>
      <c r="I123" s="182"/>
      <c r="J123" s="182"/>
      <c r="K123" s="182"/>
    </row>
    <row r="124" spans="2:17">
      <c r="H124" s="182"/>
      <c r="I124" s="182"/>
      <c r="J124" s="182"/>
      <c r="K124" s="182"/>
    </row>
    <row r="125" spans="2:17">
      <c r="H125" s="182"/>
      <c r="I125" s="182"/>
      <c r="J125" s="182"/>
      <c r="K125" s="182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40" t="s">
        <v>104</v>
      </c>
      <c r="B1" s="140" t="s">
        <v>105</v>
      </c>
      <c r="C1" s="140" t="s">
        <v>105</v>
      </c>
      <c r="D1" s="140" t="s">
        <v>105</v>
      </c>
      <c r="F1" s="141" t="s">
        <v>106</v>
      </c>
      <c r="G1" s="142" t="s">
        <v>107</v>
      </c>
      <c r="H1" s="143" t="s">
        <v>108</v>
      </c>
      <c r="I1" s="144" t="s">
        <v>109</v>
      </c>
      <c r="K1" s="145" t="s">
        <v>5</v>
      </c>
      <c r="L1" s="145" t="s">
        <v>105</v>
      </c>
      <c r="M1" s="145" t="s">
        <v>105</v>
      </c>
      <c r="O1" s="149" t="s">
        <v>110</v>
      </c>
      <c r="P1" s="149" t="s">
        <v>111</v>
      </c>
    </row>
    <row r="2" ht="30" customHeight="1" spans="1:16">
      <c r="A2" s="140" t="s">
        <v>112</v>
      </c>
      <c r="B2" s="140" t="s">
        <v>113</v>
      </c>
      <c r="C2" s="140" t="s">
        <v>114</v>
      </c>
      <c r="D2" s="140" t="s">
        <v>115</v>
      </c>
      <c r="F2" s="141" t="s">
        <v>105</v>
      </c>
      <c r="G2" s="142" t="s">
        <v>105</v>
      </c>
      <c r="H2" s="143" t="s">
        <v>105</v>
      </c>
      <c r="I2" s="144" t="s">
        <v>105</v>
      </c>
      <c r="K2" s="145" t="s">
        <v>116</v>
      </c>
      <c r="L2" s="145" t="s">
        <v>117</v>
      </c>
      <c r="M2" s="145" t="s">
        <v>118</v>
      </c>
      <c r="O2" t="s">
        <v>105</v>
      </c>
      <c r="P2" t="s">
        <v>105</v>
      </c>
    </row>
    <row r="3" spans="1:16">
      <c r="F3" s="146">
        <v>16</v>
      </c>
      <c r="G3" s="146">
        <v>32</v>
      </c>
      <c r="H3" s="146">
        <v>71987</v>
      </c>
      <c r="I3" s="146">
        <v>4664</v>
      </c>
      <c r="M3" t="s">
        <v>119</v>
      </c>
      <c r="O3" s="146" t="s">
        <v>120</v>
      </c>
      <c r="P3" t="s">
        <v>105</v>
      </c>
    </row>
    <row r="4" spans="1:16">
      <c r="F4" s="146">
        <v>16</v>
      </c>
      <c r="G4" s="146">
        <v>32</v>
      </c>
      <c r="H4" s="146">
        <v>70098</v>
      </c>
      <c r="I4" s="146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46">
        <v>24</v>
      </c>
      <c r="G5" s="146">
        <v>24</v>
      </c>
      <c r="H5" s="146">
        <v>68436</v>
      </c>
      <c r="I5" s="146">
        <v>5071</v>
      </c>
      <c r="O5" t="s">
        <v>105</v>
      </c>
      <c r="P5" t="s">
        <v>105</v>
      </c>
    </row>
    <row r="6" spans="1:16">
      <c r="D6" t="s">
        <v>123</v>
      </c>
      <c r="F6" s="146">
        <v>24</v>
      </c>
      <c r="G6" s="146">
        <v>24</v>
      </c>
      <c r="H6" s="146">
        <v>67233</v>
      </c>
      <c r="I6" s="146">
        <v>5086</v>
      </c>
      <c r="O6" t="s">
        <v>105</v>
      </c>
      <c r="P6" t="s">
        <v>105</v>
      </c>
    </row>
    <row r="7" spans="1:16">
      <c r="F7" s="146">
        <v>16</v>
      </c>
      <c r="G7" s="146">
        <v>32</v>
      </c>
      <c r="H7" s="146">
        <v>65702</v>
      </c>
      <c r="I7" s="146">
        <v>4727</v>
      </c>
      <c r="M7" t="s">
        <v>124</v>
      </c>
      <c r="O7" t="s">
        <v>105</v>
      </c>
      <c r="P7" t="s">
        <v>105</v>
      </c>
    </row>
    <row r="8" spans="1:16">
      <c r="F8" s="146">
        <v>16</v>
      </c>
      <c r="G8" s="146">
        <v>32</v>
      </c>
      <c r="H8" s="146">
        <v>62295</v>
      </c>
      <c r="I8" s="146">
        <v>4144</v>
      </c>
      <c r="L8" t="s">
        <v>125</v>
      </c>
      <c r="O8" t="s">
        <v>105</v>
      </c>
      <c r="P8" t="s">
        <v>105</v>
      </c>
    </row>
    <row r="9" spans="1:16">
      <c r="F9" s="146">
        <v>16</v>
      </c>
      <c r="G9" s="146">
        <v>32</v>
      </c>
      <c r="H9" s="146">
        <v>62132</v>
      </c>
      <c r="I9" s="146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46">
        <v>24</v>
      </c>
      <c r="G10" s="146">
        <v>32</v>
      </c>
      <c r="H10" s="146">
        <v>60397</v>
      </c>
      <c r="I10" s="146">
        <v>4715</v>
      </c>
      <c r="O10" t="s">
        <v>105</v>
      </c>
      <c r="P10" t="s">
        <v>128</v>
      </c>
    </row>
    <row r="11" spans="1:16">
      <c r="C11" t="s">
        <v>129</v>
      </c>
      <c r="F11" s="146">
        <v>24</v>
      </c>
      <c r="G11" s="146">
        <v>32</v>
      </c>
      <c r="H11" s="146">
        <v>59922</v>
      </c>
      <c r="I11" s="146">
        <v>4808</v>
      </c>
      <c r="O11" t="s">
        <v>105</v>
      </c>
      <c r="P11" t="s">
        <v>128</v>
      </c>
    </row>
    <row r="12" spans="1:16">
      <c r="D12" t="s">
        <v>130</v>
      </c>
      <c r="F12" s="146">
        <v>20</v>
      </c>
      <c r="G12" s="146">
        <v>20</v>
      </c>
      <c r="H12" s="146">
        <v>58580</v>
      </c>
      <c r="I12" s="146">
        <v>4928</v>
      </c>
      <c r="O12" t="s">
        <v>105</v>
      </c>
      <c r="P12" t="s">
        <v>105</v>
      </c>
    </row>
    <row r="13" spans="1:16">
      <c r="C13" t="s">
        <v>131</v>
      </c>
      <c r="F13" s="146">
        <v>24</v>
      </c>
      <c r="G13" s="146">
        <v>32</v>
      </c>
      <c r="H13" s="146">
        <v>58226</v>
      </c>
      <c r="I13" s="146">
        <v>4689</v>
      </c>
      <c r="O13" t="s">
        <v>105</v>
      </c>
      <c r="P13" t="s">
        <v>128</v>
      </c>
    </row>
    <row r="14" spans="1:16">
      <c r="B14" t="s">
        <v>132</v>
      </c>
      <c r="F14" s="147">
        <v>24</v>
      </c>
      <c r="G14" s="147">
        <v>32</v>
      </c>
      <c r="H14" s="147">
        <v>58081</v>
      </c>
      <c r="I14" s="147">
        <v>4595</v>
      </c>
      <c r="O14" s="147" t="s">
        <v>133</v>
      </c>
      <c r="P14" t="s">
        <v>128</v>
      </c>
    </row>
    <row r="15" spans="1:16">
      <c r="F15" s="147">
        <v>12</v>
      </c>
      <c r="G15" s="147">
        <v>24</v>
      </c>
      <c r="H15" s="147">
        <v>56052</v>
      </c>
      <c r="I15" s="147">
        <v>4629</v>
      </c>
      <c r="M15" t="s">
        <v>134</v>
      </c>
      <c r="O15" t="s">
        <v>105</v>
      </c>
      <c r="P15" t="s">
        <v>105</v>
      </c>
    </row>
    <row r="16" spans="1:16">
      <c r="F16" s="147">
        <v>12</v>
      </c>
      <c r="G16" s="147">
        <v>24</v>
      </c>
      <c r="H16" s="147">
        <v>54314</v>
      </c>
      <c r="I16" s="147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47">
        <v>20</v>
      </c>
      <c r="G17" s="147">
        <v>28</v>
      </c>
      <c r="H17" s="147">
        <v>51933</v>
      </c>
      <c r="I17" s="147">
        <v>4454</v>
      </c>
      <c r="O17" t="s">
        <v>105</v>
      </c>
      <c r="P17" t="s">
        <v>128</v>
      </c>
    </row>
    <row r="18" spans="1:16">
      <c r="D18" t="s">
        <v>137</v>
      </c>
      <c r="F18" s="147">
        <v>18</v>
      </c>
      <c r="G18" s="147">
        <v>18</v>
      </c>
      <c r="H18" s="147">
        <v>51911</v>
      </c>
      <c r="I18" s="147">
        <v>4789</v>
      </c>
      <c r="O18" t="s">
        <v>105</v>
      </c>
      <c r="P18" t="s">
        <v>105</v>
      </c>
    </row>
    <row r="19" spans="1:16">
      <c r="F19" s="147">
        <v>12</v>
      </c>
      <c r="G19" s="147">
        <v>24</v>
      </c>
      <c r="H19" s="147">
        <v>51224</v>
      </c>
      <c r="I19" s="147">
        <v>4226</v>
      </c>
      <c r="L19" t="s">
        <v>138</v>
      </c>
      <c r="O19" t="s">
        <v>105</v>
      </c>
      <c r="P19" t="s">
        <v>105</v>
      </c>
    </row>
    <row r="20" spans="1:16">
      <c r="F20" s="147">
        <v>12</v>
      </c>
      <c r="G20" s="147">
        <v>24</v>
      </c>
      <c r="H20" s="147">
        <v>50200</v>
      </c>
      <c r="I20" s="147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47">
        <v>16</v>
      </c>
      <c r="G21" s="147">
        <v>24</v>
      </c>
      <c r="H21" s="147">
        <v>45610</v>
      </c>
      <c r="I21" s="147">
        <v>4326</v>
      </c>
      <c r="O21" t="s">
        <v>105</v>
      </c>
      <c r="P21" t="s">
        <v>128</v>
      </c>
    </row>
    <row r="22" spans="1:16">
      <c r="F22" s="147">
        <v>16</v>
      </c>
      <c r="G22" s="147">
        <v>32</v>
      </c>
      <c r="H22" s="147">
        <v>45255</v>
      </c>
      <c r="I22" s="147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47">
        <v>14</v>
      </c>
      <c r="G23" s="147">
        <v>14</v>
      </c>
      <c r="H23" s="147">
        <v>43055</v>
      </c>
      <c r="I23" s="147">
        <v>4715</v>
      </c>
      <c r="O23" t="s">
        <v>105</v>
      </c>
      <c r="P23" t="s">
        <v>105</v>
      </c>
    </row>
    <row r="24" spans="1:16">
      <c r="F24" s="147">
        <v>8</v>
      </c>
      <c r="G24" s="147">
        <v>16</v>
      </c>
      <c r="H24" s="147">
        <v>41310</v>
      </c>
      <c r="I24" s="147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48">
        <v>16</v>
      </c>
      <c r="G25" s="148">
        <v>24</v>
      </c>
      <c r="H25" s="148">
        <v>41110</v>
      </c>
      <c r="I25" s="148">
        <v>4128</v>
      </c>
      <c r="O25" s="148" t="s">
        <v>145</v>
      </c>
      <c r="P25" t="s">
        <v>105</v>
      </c>
    </row>
    <row r="26" spans="1:16">
      <c r="F26" s="148">
        <v>8</v>
      </c>
      <c r="G26" s="148">
        <v>16</v>
      </c>
      <c r="H26" s="148">
        <v>39928</v>
      </c>
      <c r="I26" s="148">
        <v>4421</v>
      </c>
      <c r="M26" t="s">
        <v>146</v>
      </c>
      <c r="O26" t="s">
        <v>105</v>
      </c>
      <c r="P26" t="s">
        <v>105</v>
      </c>
    </row>
    <row r="27" spans="1:16">
      <c r="F27" s="148">
        <v>12</v>
      </c>
      <c r="G27" s="148">
        <v>24</v>
      </c>
      <c r="H27" s="148">
        <v>38886</v>
      </c>
      <c r="I27" s="148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48">
        <v>14</v>
      </c>
      <c r="G28" s="148">
        <v>20</v>
      </c>
      <c r="H28" s="148">
        <v>38408</v>
      </c>
      <c r="I28" s="148">
        <v>4268</v>
      </c>
      <c r="O28" t="s">
        <v>105</v>
      </c>
      <c r="P28" t="s">
        <v>128</v>
      </c>
    </row>
    <row r="29" spans="1:16">
      <c r="B29" t="s">
        <v>149</v>
      </c>
      <c r="F29" s="148">
        <v>14</v>
      </c>
      <c r="G29" s="148">
        <v>20</v>
      </c>
      <c r="H29" s="148">
        <v>37459</v>
      </c>
      <c r="I29" s="148">
        <v>4111</v>
      </c>
      <c r="O29" t="s">
        <v>105</v>
      </c>
      <c r="P29" t="s">
        <v>128</v>
      </c>
    </row>
    <row r="30" spans="1:16">
      <c r="F30" s="148">
        <v>8</v>
      </c>
      <c r="G30" s="148">
        <v>16</v>
      </c>
      <c r="H30" s="148">
        <v>36951</v>
      </c>
      <c r="I30" s="148">
        <v>4643</v>
      </c>
      <c r="M30" t="s">
        <v>150</v>
      </c>
      <c r="O30" t="s">
        <v>105</v>
      </c>
      <c r="P30" t="s">
        <v>105</v>
      </c>
    </row>
    <row r="31" spans="1:16">
      <c r="F31" s="148">
        <v>8</v>
      </c>
      <c r="G31" s="148">
        <v>16</v>
      </c>
      <c r="H31" s="148">
        <v>34321</v>
      </c>
      <c r="I31" s="148">
        <v>4050</v>
      </c>
      <c r="L31" t="s">
        <v>151</v>
      </c>
      <c r="O31" t="s">
        <v>105</v>
      </c>
      <c r="P31" t="s">
        <v>105</v>
      </c>
    </row>
    <row r="32" spans="1:16">
      <c r="F32" s="148">
        <v>8</v>
      </c>
      <c r="G32" s="148">
        <v>16</v>
      </c>
      <c r="H32" s="148">
        <v>34279</v>
      </c>
      <c r="I32" s="148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48">
        <v>12</v>
      </c>
      <c r="G33" s="148">
        <v>20</v>
      </c>
      <c r="H33" s="148">
        <v>34251</v>
      </c>
      <c r="I33" s="148">
        <v>4003</v>
      </c>
      <c r="O33" t="s">
        <v>105</v>
      </c>
      <c r="P33" t="s">
        <v>105</v>
      </c>
    </row>
    <row r="34" spans="1:16">
      <c r="D34" t="s">
        <v>154</v>
      </c>
      <c r="F34" s="148">
        <v>10</v>
      </c>
      <c r="G34" s="148">
        <v>10</v>
      </c>
      <c r="H34" s="148">
        <v>32293</v>
      </c>
      <c r="I34" s="148">
        <v>4527</v>
      </c>
      <c r="O34" t="s">
        <v>105</v>
      </c>
      <c r="P34" t="s">
        <v>105</v>
      </c>
    </row>
    <row r="35" spans="1:16">
      <c r="D35" t="s">
        <v>155</v>
      </c>
      <c r="F35" s="148">
        <v>10</v>
      </c>
      <c r="G35" s="148">
        <v>10</v>
      </c>
      <c r="H35" s="148">
        <v>30480</v>
      </c>
      <c r="I35" s="148">
        <v>4413</v>
      </c>
      <c r="O35" t="s">
        <v>105</v>
      </c>
      <c r="P35" t="s">
        <v>105</v>
      </c>
    </row>
    <row r="36" spans="1:16">
      <c r="F36" s="149">
        <v>6</v>
      </c>
      <c r="G36" s="149">
        <v>12</v>
      </c>
      <c r="H36" s="149">
        <v>30069</v>
      </c>
      <c r="I36" s="149">
        <v>4570</v>
      </c>
      <c r="M36" t="s">
        <v>156</v>
      </c>
      <c r="O36" s="149" t="s">
        <v>157</v>
      </c>
      <c r="P36" t="s">
        <v>105</v>
      </c>
    </row>
    <row r="37" spans="1:16">
      <c r="F37" s="149">
        <v>6</v>
      </c>
      <c r="G37" s="149">
        <v>12</v>
      </c>
      <c r="H37" s="149">
        <v>28271</v>
      </c>
      <c r="I37" s="149">
        <v>4129</v>
      </c>
      <c r="L37" t="s">
        <v>158</v>
      </c>
      <c r="O37" t="s">
        <v>105</v>
      </c>
      <c r="P37" t="s">
        <v>105</v>
      </c>
    </row>
    <row r="38" spans="1:16">
      <c r="F38" s="149">
        <v>6</v>
      </c>
      <c r="G38" s="149">
        <v>12</v>
      </c>
      <c r="H38" s="149">
        <v>28069</v>
      </c>
      <c r="I38" s="149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49">
        <v>10</v>
      </c>
      <c r="G39" s="149">
        <v>16</v>
      </c>
      <c r="H39" s="149">
        <v>27505</v>
      </c>
      <c r="I39" s="149">
        <v>3917</v>
      </c>
      <c r="O39" t="s">
        <v>105</v>
      </c>
      <c r="P39" t="s">
        <v>105</v>
      </c>
    </row>
    <row r="40" spans="1:16">
      <c r="C40" t="s">
        <v>161</v>
      </c>
      <c r="F40" s="149">
        <v>10</v>
      </c>
      <c r="G40" s="149">
        <v>16</v>
      </c>
      <c r="H40" s="149">
        <v>27059</v>
      </c>
      <c r="I40" s="149">
        <v>3958</v>
      </c>
      <c r="O40" t="s">
        <v>105</v>
      </c>
      <c r="P40" t="s">
        <v>105</v>
      </c>
    </row>
    <row r="41" spans="1:16">
      <c r="B41" t="s">
        <v>162</v>
      </c>
      <c r="F41" s="149">
        <v>10</v>
      </c>
      <c r="G41" s="149">
        <v>16</v>
      </c>
      <c r="H41" s="149">
        <v>26820</v>
      </c>
      <c r="I41" s="149">
        <v>3861</v>
      </c>
      <c r="O41" t="s">
        <v>105</v>
      </c>
      <c r="P41" t="s">
        <v>105</v>
      </c>
    </row>
    <row r="42" spans="1:16">
      <c r="F42" s="149">
        <v>8</v>
      </c>
      <c r="G42" s="149">
        <v>16</v>
      </c>
      <c r="H42" s="149">
        <v>26556</v>
      </c>
      <c r="I42" s="149">
        <v>3386</v>
      </c>
      <c r="K42" t="s">
        <v>163</v>
      </c>
      <c r="O42" t="s">
        <v>105</v>
      </c>
      <c r="P42" t="s">
        <v>105</v>
      </c>
    </row>
    <row r="43" spans="1:16">
      <c r="F43" s="149">
        <v>6</v>
      </c>
      <c r="G43" s="149">
        <v>12</v>
      </c>
      <c r="H43" s="149">
        <v>26522</v>
      </c>
      <c r="I43" s="149">
        <v>3825</v>
      </c>
      <c r="L43" t="s">
        <v>164</v>
      </c>
      <c r="O43" t="s">
        <v>105</v>
      </c>
      <c r="P43" t="s">
        <v>105</v>
      </c>
    </row>
    <row r="44" spans="1:16">
      <c r="F44" s="149">
        <v>8</v>
      </c>
      <c r="G44" s="149">
        <v>16</v>
      </c>
      <c r="H44" s="149">
        <v>26305</v>
      </c>
      <c r="I44" s="149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49">
        <v>10</v>
      </c>
      <c r="G45" s="149">
        <v>16</v>
      </c>
      <c r="H45" s="149">
        <v>25053</v>
      </c>
      <c r="I45" s="149">
        <v>3741</v>
      </c>
      <c r="O45" t="s">
        <v>105</v>
      </c>
      <c r="P45" t="s">
        <v>105</v>
      </c>
    </row>
    <row r="46" spans="1:16">
      <c r="B46" t="s">
        <v>167</v>
      </c>
      <c r="F46" s="149">
        <v>10</v>
      </c>
      <c r="G46" s="149">
        <v>16</v>
      </c>
      <c r="H46" s="149">
        <v>23901</v>
      </c>
      <c r="I46" s="149">
        <v>3584</v>
      </c>
      <c r="O46" t="s">
        <v>105</v>
      </c>
      <c r="P46" t="s">
        <v>105</v>
      </c>
    </row>
    <row r="47" spans="1:16">
      <c r="F47" s="151">
        <v>6</v>
      </c>
      <c r="G47" s="151">
        <v>12</v>
      </c>
      <c r="H47" s="151">
        <v>21836</v>
      </c>
      <c r="I47" s="151">
        <v>3260</v>
      </c>
      <c r="L47" t="s">
        <v>168</v>
      </c>
      <c r="O47" s="151" t="s">
        <v>169</v>
      </c>
      <c r="P47" t="s">
        <v>105</v>
      </c>
    </row>
    <row r="48" spans="1:16">
      <c r="F48" s="151">
        <v>6</v>
      </c>
      <c r="G48" s="151">
        <v>12</v>
      </c>
      <c r="H48" s="151">
        <v>21825</v>
      </c>
      <c r="I48" s="151">
        <v>3366</v>
      </c>
      <c r="K48" t="s">
        <v>170</v>
      </c>
      <c r="O48" t="s">
        <v>105</v>
      </c>
      <c r="P48" t="s">
        <v>171</v>
      </c>
    </row>
    <row r="49" spans="1:16">
      <c r="F49" s="151">
        <v>6</v>
      </c>
      <c r="G49" s="151">
        <v>12</v>
      </c>
      <c r="H49" s="151">
        <v>21493</v>
      </c>
      <c r="I49" s="151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51">
        <v>6</v>
      </c>
      <c r="G50" s="151">
        <v>12</v>
      </c>
      <c r="H50" s="151">
        <v>20328</v>
      </c>
      <c r="I50" s="151">
        <v>3689</v>
      </c>
      <c r="O50" t="s">
        <v>105</v>
      </c>
      <c r="P50" t="s">
        <v>105</v>
      </c>
    </row>
    <row r="51" spans="1:16">
      <c r="F51" s="151">
        <v>6</v>
      </c>
      <c r="G51" s="151">
        <v>12</v>
      </c>
      <c r="H51" s="151">
        <v>20308</v>
      </c>
      <c r="I51" s="151">
        <v>2935</v>
      </c>
      <c r="K51" t="s">
        <v>174</v>
      </c>
      <c r="O51" t="s">
        <v>105</v>
      </c>
      <c r="P51" t="s">
        <v>171</v>
      </c>
    </row>
    <row r="52" spans="1:16">
      <c r="F52" s="151">
        <v>6</v>
      </c>
      <c r="G52" s="151">
        <v>12</v>
      </c>
      <c r="H52" s="151">
        <v>19250</v>
      </c>
      <c r="I52" s="151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51">
        <v>6</v>
      </c>
      <c r="G53" s="151">
        <v>12</v>
      </c>
      <c r="H53" s="151">
        <v>18821</v>
      </c>
      <c r="I53" s="151">
        <v>3465</v>
      </c>
      <c r="O53" t="s">
        <v>105</v>
      </c>
      <c r="P53" t="s">
        <v>105</v>
      </c>
    </row>
    <row r="54" spans="1:16">
      <c r="C54" t="s">
        <v>177</v>
      </c>
      <c r="F54" s="151">
        <v>4</v>
      </c>
      <c r="G54" s="151">
        <v>8</v>
      </c>
      <c r="H54" s="151">
        <v>15081</v>
      </c>
      <c r="I54" s="151">
        <v>3760</v>
      </c>
      <c r="O54" t="s">
        <v>105</v>
      </c>
      <c r="P54" t="s">
        <v>105</v>
      </c>
    </row>
    <row r="55" spans="1:16">
      <c r="B55" t="s">
        <v>178</v>
      </c>
      <c r="F55" s="151">
        <v>4</v>
      </c>
      <c r="G55" s="151">
        <v>8</v>
      </c>
      <c r="H55" s="151">
        <v>14100</v>
      </c>
      <c r="I55" s="151">
        <v>3537</v>
      </c>
      <c r="O55" t="s">
        <v>105</v>
      </c>
      <c r="P55" t="s">
        <v>105</v>
      </c>
    </row>
    <row r="56" spans="1:16">
      <c r="A56" t="s">
        <v>179</v>
      </c>
      <c r="F56" s="151">
        <v>4</v>
      </c>
      <c r="G56" s="151">
        <v>8</v>
      </c>
      <c r="H56" s="151">
        <v>12511</v>
      </c>
      <c r="I56" s="151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workbookViewId="0">
      <pane xSplit="8" ySplit="2" topLeftCell="J51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40" t="s">
        <v>104</v>
      </c>
      <c r="B1" s="140" t="s">
        <v>104</v>
      </c>
      <c r="C1" s="140" t="s">
        <v>104</v>
      </c>
      <c r="D1" s="140" t="s">
        <v>104</v>
      </c>
      <c r="E1" s="140" t="s">
        <v>104</v>
      </c>
      <c r="F1" s="140" t="s">
        <v>104</v>
      </c>
      <c r="G1" s="140" t="s">
        <v>104</v>
      </c>
      <c r="H1" s="140" t="s">
        <v>104</v>
      </c>
      <c r="J1" s="141" t="s">
        <v>106</v>
      </c>
      <c r="K1" s="142" t="s">
        <v>107</v>
      </c>
      <c r="L1" s="143" t="s">
        <v>108</v>
      </c>
      <c r="M1" s="144" t="s">
        <v>109</v>
      </c>
      <c r="O1" s="145" t="s">
        <v>5</v>
      </c>
      <c r="P1" s="145" t="s">
        <v>5</v>
      </c>
      <c r="Q1" s="145" t="s">
        <v>5</v>
      </c>
      <c r="R1" s="145" t="s">
        <v>5</v>
      </c>
      <c r="S1" s="145" t="s">
        <v>5</v>
      </c>
      <c r="T1" s="145" t="s">
        <v>5</v>
      </c>
    </row>
    <row r="2" ht="34" customHeight="1" spans="1:20">
      <c r="A2" s="140" t="s">
        <v>180</v>
      </c>
      <c r="B2" s="140" t="s">
        <v>181</v>
      </c>
      <c r="C2" s="140" t="s">
        <v>182</v>
      </c>
      <c r="D2" s="140" t="s">
        <v>183</v>
      </c>
      <c r="E2" s="140" t="s">
        <v>184</v>
      </c>
      <c r="F2" s="140" t="s">
        <v>185</v>
      </c>
      <c r="G2" s="140" t="s">
        <v>186</v>
      </c>
      <c r="H2" s="140" t="s">
        <v>187</v>
      </c>
      <c r="J2" s="141" t="s">
        <v>105</v>
      </c>
      <c r="K2" s="142" t="s">
        <v>105</v>
      </c>
      <c r="L2" s="143" t="s">
        <v>105</v>
      </c>
      <c r="M2" s="144" t="s">
        <v>105</v>
      </c>
      <c r="O2" s="145" t="s">
        <v>188</v>
      </c>
      <c r="P2" s="145" t="s">
        <v>189</v>
      </c>
      <c r="Q2" s="145" t="s">
        <v>190</v>
      </c>
      <c r="R2" s="145" t="s">
        <v>191</v>
      </c>
      <c r="S2" s="145" t="s">
        <v>192</v>
      </c>
      <c r="T2" s="145" t="s">
        <v>193</v>
      </c>
    </row>
    <row r="3" spans="1:20">
      <c r="J3" s="146">
        <v>16</v>
      </c>
      <c r="K3" s="146">
        <v>32</v>
      </c>
      <c r="L3" s="146">
        <v>62399</v>
      </c>
      <c r="M3" s="146">
        <v>4506</v>
      </c>
      <c r="O3" t="s">
        <v>194</v>
      </c>
    </row>
    <row r="4" spans="1:20">
      <c r="B4" t="s">
        <v>195</v>
      </c>
      <c r="J4" s="146">
        <v>24</v>
      </c>
      <c r="K4" s="146">
        <v>24</v>
      </c>
      <c r="L4" s="146">
        <v>58878</v>
      </c>
      <c r="M4" s="146">
        <v>4933</v>
      </c>
    </row>
    <row r="5" spans="1:20">
      <c r="J5" s="146">
        <v>16</v>
      </c>
      <c r="K5" s="146">
        <v>32</v>
      </c>
      <c r="L5" s="146">
        <v>57727</v>
      </c>
      <c r="M5" s="146">
        <v>4063</v>
      </c>
      <c r="Q5" t="s">
        <v>196</v>
      </c>
    </row>
    <row r="6" spans="1:20">
      <c r="B6" t="s">
        <v>197</v>
      </c>
      <c r="J6" s="146">
        <v>24</v>
      </c>
      <c r="K6" s="146">
        <v>24</v>
      </c>
      <c r="L6" s="146">
        <v>56533</v>
      </c>
      <c r="M6" s="146">
        <v>4609</v>
      </c>
    </row>
    <row r="7" spans="1:20">
      <c r="J7" s="146">
        <v>16</v>
      </c>
      <c r="K7" s="146">
        <v>32</v>
      </c>
      <c r="L7" s="146">
        <v>56302</v>
      </c>
      <c r="M7" s="146">
        <v>4397</v>
      </c>
      <c r="O7" t="s">
        <v>198</v>
      </c>
    </row>
    <row r="8" spans="1:20">
      <c r="B8" t="s">
        <v>199</v>
      </c>
      <c r="J8" s="146">
        <v>24</v>
      </c>
      <c r="K8" s="146">
        <v>24</v>
      </c>
      <c r="L8" s="146">
        <v>55736</v>
      </c>
      <c r="M8" s="146">
        <v>4709</v>
      </c>
    </row>
    <row r="9" spans="1:20">
      <c r="J9" s="146">
        <v>16</v>
      </c>
      <c r="K9" s="146">
        <v>32</v>
      </c>
      <c r="L9" s="146">
        <v>54895</v>
      </c>
      <c r="M9" s="146">
        <v>4145</v>
      </c>
      <c r="P9" t="s">
        <v>200</v>
      </c>
    </row>
    <row r="10" spans="1:20">
      <c r="J10" s="146">
        <v>16</v>
      </c>
      <c r="K10" s="146">
        <v>32</v>
      </c>
      <c r="L10" s="146">
        <v>53859</v>
      </c>
      <c r="M10" s="146">
        <v>4015</v>
      </c>
      <c r="Q10" t="s">
        <v>201</v>
      </c>
    </row>
    <row r="11" spans="1:20">
      <c r="J11" s="146">
        <v>16</v>
      </c>
      <c r="K11" s="146">
        <v>32</v>
      </c>
      <c r="L11" s="146">
        <v>53022</v>
      </c>
      <c r="M11" s="146">
        <v>3929</v>
      </c>
      <c r="Q11" t="s">
        <v>202</v>
      </c>
    </row>
    <row r="12" spans="1:20">
      <c r="J12" s="146">
        <v>12</v>
      </c>
      <c r="K12" s="146">
        <v>24</v>
      </c>
      <c r="L12" s="146">
        <v>51722</v>
      </c>
      <c r="M12" s="146">
        <v>4461</v>
      </c>
      <c r="O12" t="s">
        <v>203</v>
      </c>
    </row>
    <row r="13" spans="1:20">
      <c r="J13" s="146">
        <v>16</v>
      </c>
      <c r="K13" s="146">
        <v>32</v>
      </c>
      <c r="L13" s="146">
        <v>51262</v>
      </c>
      <c r="M13" s="146">
        <v>3903</v>
      </c>
      <c r="Q13" t="s">
        <v>204</v>
      </c>
    </row>
    <row r="14" spans="1:20">
      <c r="J14" s="146">
        <v>16</v>
      </c>
      <c r="K14" s="146">
        <v>32</v>
      </c>
      <c r="L14" s="146">
        <v>49613</v>
      </c>
      <c r="M14" s="146">
        <v>3873</v>
      </c>
      <c r="Q14" t="s">
        <v>205</v>
      </c>
    </row>
    <row r="15" spans="1:20">
      <c r="B15" t="s">
        <v>206</v>
      </c>
      <c r="J15" s="146">
        <v>20</v>
      </c>
      <c r="K15" s="146">
        <v>20</v>
      </c>
      <c r="L15" s="146">
        <v>49310</v>
      </c>
      <c r="M15" s="146">
        <v>4779</v>
      </c>
    </row>
    <row r="16" spans="1:20">
      <c r="B16" t="s">
        <v>207</v>
      </c>
      <c r="J16" s="146">
        <v>20</v>
      </c>
      <c r="K16" s="146">
        <v>20</v>
      </c>
      <c r="L16" s="146">
        <v>48039</v>
      </c>
      <c r="M16" s="146">
        <v>4557</v>
      </c>
    </row>
    <row r="17" spans="1:18">
      <c r="B17" t="s">
        <v>208</v>
      </c>
      <c r="J17" s="146">
        <v>18</v>
      </c>
      <c r="K17" s="146">
        <v>18</v>
      </c>
      <c r="L17" s="146">
        <v>46812</v>
      </c>
      <c r="M17" s="146">
        <v>4453</v>
      </c>
    </row>
    <row r="18" spans="1:18">
      <c r="J18" s="146">
        <v>12</v>
      </c>
      <c r="K18" s="146">
        <v>24</v>
      </c>
      <c r="L18" s="146">
        <v>45438</v>
      </c>
      <c r="M18" s="146">
        <v>3962</v>
      </c>
      <c r="P18" t="s">
        <v>209</v>
      </c>
    </row>
    <row r="19" spans="1:18">
      <c r="E19" t="s">
        <v>210</v>
      </c>
      <c r="J19" s="146">
        <v>24</v>
      </c>
      <c r="K19" s="146">
        <v>32</v>
      </c>
      <c r="L19" s="146">
        <v>45319</v>
      </c>
      <c r="M19" s="146">
        <v>4209</v>
      </c>
    </row>
    <row r="20" spans="1:18">
      <c r="J20" s="146">
        <v>12</v>
      </c>
      <c r="K20" s="146">
        <v>24</v>
      </c>
      <c r="L20" s="146">
        <v>44391</v>
      </c>
      <c r="M20" s="146">
        <v>3897</v>
      </c>
      <c r="Q20" t="s">
        <v>211</v>
      </c>
    </row>
    <row r="21" spans="1:18">
      <c r="E21" t="s">
        <v>212</v>
      </c>
      <c r="J21" s="146">
        <v>24</v>
      </c>
      <c r="K21" s="146">
        <v>32</v>
      </c>
      <c r="L21" s="146">
        <v>43613</v>
      </c>
      <c r="M21" s="146">
        <v>4165</v>
      </c>
    </row>
    <row r="22" spans="1:18">
      <c r="J22" s="146">
        <v>12</v>
      </c>
      <c r="K22" s="146">
        <v>24</v>
      </c>
      <c r="L22" s="146">
        <v>42667</v>
      </c>
      <c r="M22" s="146">
        <v>3940</v>
      </c>
      <c r="Q22" t="s">
        <v>213</v>
      </c>
    </row>
    <row r="23" spans="1:18">
      <c r="J23" s="146">
        <v>12</v>
      </c>
      <c r="K23" s="146">
        <v>24</v>
      </c>
      <c r="L23" s="146">
        <v>41726</v>
      </c>
      <c r="M23" s="146">
        <v>4032</v>
      </c>
      <c r="P23" t="s">
        <v>214</v>
      </c>
    </row>
    <row r="24" spans="1:18">
      <c r="B24" t="s">
        <v>215</v>
      </c>
      <c r="J24" s="146">
        <v>14</v>
      </c>
      <c r="K24" s="147">
        <v>14</v>
      </c>
      <c r="L24" s="146">
        <v>41634</v>
      </c>
      <c r="M24" s="146">
        <v>4569</v>
      </c>
    </row>
    <row r="25" spans="1:18">
      <c r="B25" t="s">
        <v>216</v>
      </c>
      <c r="J25" s="146">
        <v>14</v>
      </c>
      <c r="K25" s="147">
        <v>14</v>
      </c>
      <c r="L25" s="146">
        <v>40770</v>
      </c>
      <c r="M25" s="146">
        <v>4694</v>
      </c>
    </row>
    <row r="26" spans="1:18">
      <c r="J26" s="146">
        <v>12</v>
      </c>
      <c r="K26" s="146">
        <v>24</v>
      </c>
      <c r="L26" s="146">
        <v>38273</v>
      </c>
      <c r="M26" s="146">
        <v>4253</v>
      </c>
      <c r="R26" t="s">
        <v>217</v>
      </c>
    </row>
    <row r="27" spans="1:18">
      <c r="A27" t="s">
        <v>218</v>
      </c>
      <c r="J27" s="146">
        <v>16</v>
      </c>
      <c r="K27" s="146">
        <v>16</v>
      </c>
      <c r="L27" s="146">
        <v>38212</v>
      </c>
      <c r="M27" s="146">
        <v>4322</v>
      </c>
    </row>
    <row r="28" spans="1:18">
      <c r="J28" s="146">
        <v>12</v>
      </c>
      <c r="K28" s="146">
        <v>24</v>
      </c>
      <c r="L28" s="146">
        <v>36829</v>
      </c>
      <c r="M28" s="146">
        <v>4082</v>
      </c>
      <c r="R28" t="s">
        <v>219</v>
      </c>
    </row>
    <row r="29" spans="1:18">
      <c r="E29" t="s">
        <v>220</v>
      </c>
      <c r="J29" s="146">
        <v>20</v>
      </c>
      <c r="K29" s="146">
        <v>28</v>
      </c>
      <c r="L29" s="146">
        <v>36481</v>
      </c>
      <c r="M29" s="146">
        <v>3944</v>
      </c>
    </row>
    <row r="30" spans="1:18">
      <c r="A30" t="s">
        <v>221</v>
      </c>
      <c r="J30" s="146">
        <v>16</v>
      </c>
      <c r="K30" s="146">
        <v>16</v>
      </c>
      <c r="L30" s="146">
        <v>36255</v>
      </c>
      <c r="M30" s="146">
        <v>4274</v>
      </c>
    </row>
    <row r="31" spans="1:18">
      <c r="A31" t="s">
        <v>222</v>
      </c>
      <c r="J31" s="146">
        <v>16</v>
      </c>
      <c r="K31" s="146">
        <v>16</v>
      </c>
      <c r="L31" s="146">
        <v>36051</v>
      </c>
      <c r="M31" s="146">
        <v>4228</v>
      </c>
    </row>
    <row r="32" spans="1:18">
      <c r="J32" s="146">
        <v>12</v>
      </c>
      <c r="K32" s="146">
        <v>24</v>
      </c>
      <c r="L32" s="146">
        <v>35408</v>
      </c>
      <c r="M32" s="146">
        <v>3986</v>
      </c>
      <c r="R32" t="s">
        <v>223</v>
      </c>
    </row>
    <row r="33" spans="1:19">
      <c r="J33" s="146">
        <v>12</v>
      </c>
      <c r="K33" s="146">
        <v>24</v>
      </c>
      <c r="L33" s="146">
        <v>34945</v>
      </c>
      <c r="M33" s="146">
        <v>3937</v>
      </c>
      <c r="R33" t="s">
        <v>224</v>
      </c>
    </row>
    <row r="34" spans="1:19">
      <c r="A34" t="s">
        <v>225</v>
      </c>
      <c r="J34" s="146">
        <v>16</v>
      </c>
      <c r="K34" s="146">
        <v>16</v>
      </c>
      <c r="L34" s="146">
        <v>34199</v>
      </c>
      <c r="M34" s="146">
        <v>4083</v>
      </c>
    </row>
    <row r="35" spans="1:19">
      <c r="C35" t="s">
        <v>226</v>
      </c>
      <c r="J35" s="146">
        <v>16</v>
      </c>
      <c r="K35" s="146">
        <v>16</v>
      </c>
      <c r="L35" s="146">
        <v>34186</v>
      </c>
      <c r="M35" s="146">
        <v>4416</v>
      </c>
    </row>
    <row r="36" spans="1:19">
      <c r="A36" t="s">
        <v>227</v>
      </c>
      <c r="J36" s="146">
        <v>16</v>
      </c>
      <c r="K36" s="146">
        <v>16</v>
      </c>
      <c r="L36" s="146">
        <v>33725</v>
      </c>
      <c r="M36" s="146">
        <v>4096</v>
      </c>
    </row>
    <row r="37" spans="1:19">
      <c r="J37" s="148">
        <v>8</v>
      </c>
      <c r="K37" s="146">
        <v>16</v>
      </c>
      <c r="L37" s="146">
        <v>33643</v>
      </c>
      <c r="M37" s="146">
        <v>4064</v>
      </c>
      <c r="P37" t="s">
        <v>228</v>
      </c>
    </row>
    <row r="38" spans="1:19">
      <c r="E38" t="s">
        <v>229</v>
      </c>
      <c r="J38" s="146">
        <v>16</v>
      </c>
      <c r="K38" s="146">
        <v>24</v>
      </c>
      <c r="L38" s="146">
        <v>33442</v>
      </c>
      <c r="M38" s="146">
        <v>3841</v>
      </c>
    </row>
    <row r="39" spans="1:19">
      <c r="J39" s="148">
        <v>8</v>
      </c>
      <c r="K39" s="146">
        <v>16</v>
      </c>
      <c r="L39" s="146">
        <v>33357</v>
      </c>
      <c r="M39" s="146">
        <v>4196</v>
      </c>
      <c r="P39" t="s">
        <v>230</v>
      </c>
    </row>
    <row r="40" spans="1:19">
      <c r="A40" t="s">
        <v>231</v>
      </c>
      <c r="J40" s="146">
        <v>16</v>
      </c>
      <c r="K40" s="146">
        <v>16</v>
      </c>
      <c r="L40" s="146">
        <v>33350</v>
      </c>
      <c r="M40" s="146">
        <v>3989</v>
      </c>
    </row>
    <row r="41" spans="1:19">
      <c r="J41" s="148">
        <v>8</v>
      </c>
      <c r="K41" s="146">
        <v>16</v>
      </c>
      <c r="L41" s="146">
        <v>31496</v>
      </c>
      <c r="M41" s="146">
        <v>3872</v>
      </c>
      <c r="Q41" t="s">
        <v>232</v>
      </c>
    </row>
    <row r="42" spans="1:19">
      <c r="C42" t="s">
        <v>233</v>
      </c>
      <c r="J42" s="146">
        <v>16</v>
      </c>
      <c r="K42" s="146">
        <v>16</v>
      </c>
      <c r="L42" s="147">
        <v>30723</v>
      </c>
      <c r="M42" s="146">
        <v>4315</v>
      </c>
    </row>
    <row r="43" spans="1:19">
      <c r="J43" s="147">
        <v>10</v>
      </c>
      <c r="K43" s="146">
        <v>20</v>
      </c>
      <c r="L43" s="147">
        <v>30341</v>
      </c>
      <c r="M43" s="146">
        <v>3862</v>
      </c>
      <c r="R43" t="s">
        <v>234</v>
      </c>
    </row>
    <row r="44" spans="1:19">
      <c r="E44" t="s">
        <v>235</v>
      </c>
      <c r="J44" s="146">
        <v>14</v>
      </c>
      <c r="K44" s="146">
        <v>20</v>
      </c>
      <c r="L44" s="147">
        <v>29995</v>
      </c>
      <c r="M44" s="146">
        <v>3736</v>
      </c>
    </row>
    <row r="45" spans="1:19">
      <c r="J45" s="148">
        <v>8</v>
      </c>
      <c r="K45" s="146">
        <v>16</v>
      </c>
      <c r="L45" s="147">
        <v>29054</v>
      </c>
      <c r="M45" s="146">
        <v>3676</v>
      </c>
      <c r="S45" t="s">
        <v>236</v>
      </c>
    </row>
    <row r="46" spans="1:19">
      <c r="J46" s="148">
        <v>8</v>
      </c>
      <c r="K46" s="146">
        <v>16</v>
      </c>
      <c r="L46" s="147">
        <v>28269</v>
      </c>
      <c r="M46" s="146">
        <v>3705</v>
      </c>
      <c r="S46" t="s">
        <v>237</v>
      </c>
    </row>
    <row r="47" spans="1:19">
      <c r="J47" s="148">
        <v>8</v>
      </c>
      <c r="K47" s="146">
        <v>16</v>
      </c>
      <c r="L47" s="147">
        <v>28197</v>
      </c>
      <c r="M47" s="146">
        <v>3669</v>
      </c>
      <c r="S47" t="s">
        <v>238</v>
      </c>
    </row>
    <row r="48" spans="1:19">
      <c r="J48" s="148">
        <v>8</v>
      </c>
      <c r="K48" s="146">
        <v>16</v>
      </c>
      <c r="L48" s="147">
        <v>28139</v>
      </c>
      <c r="M48" s="146">
        <v>3658</v>
      </c>
      <c r="S48" t="s">
        <v>239</v>
      </c>
    </row>
    <row r="49" spans="1:20">
      <c r="J49" s="147">
        <v>10</v>
      </c>
      <c r="K49" s="146">
        <v>20</v>
      </c>
      <c r="L49" s="147">
        <v>28105</v>
      </c>
      <c r="M49" s="146">
        <v>3397</v>
      </c>
      <c r="R49" t="s">
        <v>240</v>
      </c>
    </row>
    <row r="50" spans="1:20">
      <c r="C50" t="s">
        <v>241</v>
      </c>
      <c r="J50" s="146">
        <v>14</v>
      </c>
      <c r="K50" s="147">
        <v>14</v>
      </c>
      <c r="L50" s="147">
        <v>28098</v>
      </c>
      <c r="M50" s="146">
        <v>4255</v>
      </c>
    </row>
    <row r="51" spans="1:20">
      <c r="A51" t="s">
        <v>242</v>
      </c>
      <c r="J51" s="146">
        <v>12</v>
      </c>
      <c r="K51" s="148">
        <v>12</v>
      </c>
      <c r="L51" s="147">
        <v>27818</v>
      </c>
      <c r="M51" s="146">
        <v>4047</v>
      </c>
    </row>
    <row r="52" spans="1:20">
      <c r="E52" t="s">
        <v>243</v>
      </c>
      <c r="J52" s="146">
        <v>14</v>
      </c>
      <c r="K52" s="146">
        <v>20</v>
      </c>
      <c r="L52" s="147">
        <v>27397</v>
      </c>
      <c r="M52" s="146">
        <v>3623</v>
      </c>
    </row>
    <row r="53" spans="1:20">
      <c r="J53" s="148">
        <v>8</v>
      </c>
      <c r="K53" s="146">
        <v>16</v>
      </c>
      <c r="L53" s="147">
        <v>26582</v>
      </c>
      <c r="M53" s="146">
        <v>3499</v>
      </c>
      <c r="S53" t="s">
        <v>244</v>
      </c>
    </row>
    <row r="54" spans="1:20">
      <c r="J54" s="148">
        <v>8</v>
      </c>
      <c r="K54" s="146">
        <v>16</v>
      </c>
      <c r="L54" s="147">
        <v>26212</v>
      </c>
      <c r="M54" s="146">
        <v>3724</v>
      </c>
      <c r="R54" t="s">
        <v>245</v>
      </c>
    </row>
    <row r="55" spans="1:20">
      <c r="J55" s="148">
        <v>8</v>
      </c>
      <c r="K55" s="146">
        <v>16</v>
      </c>
      <c r="L55" s="148">
        <v>22947</v>
      </c>
      <c r="M55" s="146">
        <v>3206</v>
      </c>
      <c r="T55" t="s">
        <v>246</v>
      </c>
    </row>
    <row r="56" spans="1:20">
      <c r="J56" s="148">
        <v>8</v>
      </c>
      <c r="K56" s="146">
        <v>16</v>
      </c>
      <c r="L56" s="148">
        <v>22919</v>
      </c>
      <c r="M56" s="146">
        <v>3161</v>
      </c>
      <c r="T56" t="s">
        <v>247</v>
      </c>
    </row>
    <row r="57" spans="1:20">
      <c r="J57" s="148">
        <v>8</v>
      </c>
      <c r="K57" s="146">
        <v>16</v>
      </c>
      <c r="L57" s="148">
        <v>22694</v>
      </c>
      <c r="M57" s="146">
        <v>3183</v>
      </c>
      <c r="T57" t="s">
        <v>248</v>
      </c>
    </row>
    <row r="58" spans="1:20">
      <c r="J58" s="149">
        <v>6</v>
      </c>
      <c r="K58" s="148">
        <v>12</v>
      </c>
      <c r="L58" s="148">
        <v>21970</v>
      </c>
      <c r="M58" s="146">
        <v>3552</v>
      </c>
      <c r="S58" t="s">
        <v>249</v>
      </c>
    </row>
    <row r="59" spans="1:20">
      <c r="H59" t="s">
        <v>250</v>
      </c>
      <c r="J59" s="146">
        <v>12</v>
      </c>
      <c r="K59" s="146">
        <v>16</v>
      </c>
      <c r="L59" s="148">
        <v>21884</v>
      </c>
      <c r="M59" s="146">
        <v>3405</v>
      </c>
    </row>
    <row r="60" spans="1:20">
      <c r="C60" t="s">
        <v>251</v>
      </c>
      <c r="J60" s="146">
        <v>14</v>
      </c>
      <c r="K60" s="146">
        <v>18</v>
      </c>
      <c r="L60" s="148">
        <v>20019</v>
      </c>
      <c r="M60" s="146">
        <v>3319</v>
      </c>
    </row>
    <row r="61" spans="1:20">
      <c r="D61" t="s">
        <v>252</v>
      </c>
      <c r="J61" s="148">
        <v>8</v>
      </c>
      <c r="K61" s="149">
        <v>8</v>
      </c>
      <c r="L61" s="148">
        <v>19812</v>
      </c>
      <c r="M61" s="146">
        <v>4271</v>
      </c>
    </row>
    <row r="62" spans="1:20">
      <c r="J62" s="149">
        <v>6</v>
      </c>
      <c r="K62" s="148">
        <v>12</v>
      </c>
      <c r="L62" s="148">
        <v>19527</v>
      </c>
      <c r="M62" s="146">
        <v>3690</v>
      </c>
      <c r="R62" t="s">
        <v>253</v>
      </c>
    </row>
    <row r="63" spans="1:20">
      <c r="F63" t="s">
        <v>254</v>
      </c>
      <c r="J63" s="148">
        <v>8</v>
      </c>
      <c r="K63" s="149">
        <v>8</v>
      </c>
      <c r="L63" s="148">
        <v>19437</v>
      </c>
      <c r="M63" s="146">
        <v>3786</v>
      </c>
    </row>
    <row r="64" spans="1:20">
      <c r="D64" t="s">
        <v>255</v>
      </c>
      <c r="J64" s="148">
        <v>8</v>
      </c>
      <c r="K64" s="149">
        <v>8</v>
      </c>
      <c r="L64" s="148">
        <v>19287</v>
      </c>
      <c r="M64" s="146">
        <v>4051</v>
      </c>
    </row>
    <row r="65" spans="4:13">
      <c r="D65" t="s">
        <v>256</v>
      </c>
      <c r="J65" s="148">
        <v>8</v>
      </c>
      <c r="K65" s="149">
        <v>8</v>
      </c>
      <c r="L65" s="148">
        <v>18889</v>
      </c>
      <c r="M65" s="146">
        <v>4018</v>
      </c>
    </row>
    <row r="66" spans="4:13">
      <c r="D66" t="s">
        <v>257</v>
      </c>
      <c r="J66" s="148">
        <v>8</v>
      </c>
      <c r="K66" s="149">
        <v>8</v>
      </c>
      <c r="L66" s="148">
        <v>18397</v>
      </c>
      <c r="M66" s="146">
        <v>3889</v>
      </c>
    </row>
    <row r="67" spans="4:13">
      <c r="D67" t="s">
        <v>258</v>
      </c>
      <c r="J67" s="148">
        <v>8</v>
      </c>
      <c r="K67" s="149">
        <v>8</v>
      </c>
      <c r="L67" s="148">
        <v>18170</v>
      </c>
      <c r="M67" s="146">
        <v>3814</v>
      </c>
    </row>
    <row r="68" spans="4:13">
      <c r="D68" t="s">
        <v>259</v>
      </c>
      <c r="J68" s="148">
        <v>8</v>
      </c>
      <c r="K68" s="149">
        <v>8</v>
      </c>
      <c r="L68" s="149">
        <v>17886</v>
      </c>
      <c r="M68" s="146">
        <v>3752</v>
      </c>
    </row>
    <row r="69" spans="4:13">
      <c r="G69" t="s">
        <v>260</v>
      </c>
      <c r="J69" s="149">
        <v>6</v>
      </c>
      <c r="K69" s="150">
        <v>6</v>
      </c>
      <c r="L69" s="149">
        <v>15330</v>
      </c>
      <c r="M69" s="146">
        <v>4007</v>
      </c>
    </row>
    <row r="70" spans="4:13">
      <c r="G70" t="s">
        <v>261</v>
      </c>
      <c r="J70" s="149">
        <v>6</v>
      </c>
      <c r="K70" s="150">
        <v>6</v>
      </c>
      <c r="L70" s="149">
        <v>15038</v>
      </c>
      <c r="M70" s="146">
        <v>3931</v>
      </c>
    </row>
    <row r="71" spans="4:13">
      <c r="F71" t="s">
        <v>262</v>
      </c>
      <c r="J71" s="149">
        <v>6</v>
      </c>
      <c r="K71" s="150">
        <v>6</v>
      </c>
      <c r="L71" s="149">
        <v>14743</v>
      </c>
      <c r="M71" s="146">
        <v>3757</v>
      </c>
    </row>
    <row r="72" spans="4:13">
      <c r="F72" t="s">
        <v>263</v>
      </c>
      <c r="J72" s="149">
        <v>6</v>
      </c>
      <c r="K72" s="150">
        <v>6</v>
      </c>
      <c r="L72" s="149">
        <v>14633</v>
      </c>
      <c r="M72" s="146">
        <v>3746</v>
      </c>
    </row>
    <row r="73" spans="4:13">
      <c r="G73" t="s">
        <v>264</v>
      </c>
      <c r="J73" s="149">
        <v>5</v>
      </c>
      <c r="K73" s="150">
        <v>5</v>
      </c>
      <c r="L73" s="149">
        <v>12548</v>
      </c>
      <c r="M73" s="146">
        <v>3121</v>
      </c>
    </row>
    <row r="74" spans="4:13">
      <c r="G74" t="s">
        <v>265</v>
      </c>
      <c r="J74" s="149">
        <v>5</v>
      </c>
      <c r="K74" s="150">
        <v>5</v>
      </c>
      <c r="L74" s="150">
        <v>11514</v>
      </c>
      <c r="M74" s="146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6"/>
  </sheetPr>
  <dimension ref="B2:Q52"/>
  <sheetViews>
    <sheetView workbookViewId="0">
      <selection activeCell="M54" sqref="M54"/>
    </sheetView>
  </sheetViews>
  <sheetFormatPr defaultColWidth="8.88888888888889" defaultRowHeight="14.4"/>
  <cols>
    <col min="3" max="3" width="15.2222222222222" customWidth="1"/>
    <col min="12" max="12" width="9.66666666666667"/>
  </cols>
  <sheetData>
    <row r="2" spans="2:16">
      <c r="B2" t="s">
        <v>266</v>
      </c>
      <c r="D2" t="s">
        <v>267</v>
      </c>
      <c r="E2" t="s">
        <v>268</v>
      </c>
      <c r="F2" t="s">
        <v>269</v>
      </c>
      <c r="H2" t="s">
        <v>270</v>
      </c>
      <c r="I2" t="s">
        <v>271</v>
      </c>
      <c r="J2" t="s">
        <v>272</v>
      </c>
      <c r="K2" t="s">
        <v>273</v>
      </c>
      <c r="L2" t="s">
        <v>274</v>
      </c>
      <c r="M2" t="s">
        <v>275</v>
      </c>
      <c r="N2" t="s">
        <v>276</v>
      </c>
      <c r="O2" t="s">
        <v>277</v>
      </c>
      <c r="P2" t="s">
        <v>278</v>
      </c>
    </row>
    <row r="3" spans="2:16">
      <c r="B3" t="s">
        <v>279</v>
      </c>
      <c r="C3" t="s">
        <v>280</v>
      </c>
      <c r="D3">
        <v>304</v>
      </c>
      <c r="E3">
        <v>137</v>
      </c>
      <c r="F3">
        <v>40</v>
      </c>
      <c r="H3" t="s">
        <v>281</v>
      </c>
      <c r="I3">
        <v>1640</v>
      </c>
      <c r="J3" t="s">
        <v>282</v>
      </c>
      <c r="K3" t="s">
        <v>283</v>
      </c>
      <c r="L3" t="s">
        <v>284</v>
      </c>
      <c r="M3" t="s">
        <v>285</v>
      </c>
      <c r="N3">
        <v>2617</v>
      </c>
      <c r="O3">
        <v>390</v>
      </c>
      <c r="P3">
        <v>11000</v>
      </c>
    </row>
    <row r="4" hidden="1" spans="2:16">
      <c r="B4" s="105" t="s">
        <v>286</v>
      </c>
      <c r="C4" t="s">
        <v>287</v>
      </c>
      <c r="O4" s="98">
        <v>450</v>
      </c>
    </row>
    <row r="5" hidden="1" spans="2:16">
      <c r="B5" s="105"/>
      <c r="C5" t="s">
        <v>288</v>
      </c>
      <c r="O5" s="98"/>
    </row>
    <row r="6" hidden="1" spans="2:16">
      <c r="B6" s="105"/>
      <c r="C6" t="s">
        <v>289</v>
      </c>
      <c r="O6" s="98">
        <v>450</v>
      </c>
    </row>
    <row r="7" spans="2:16">
      <c r="B7" s="105"/>
      <c r="C7" s="110" t="s">
        <v>290</v>
      </c>
      <c r="D7" s="98">
        <v>348</v>
      </c>
      <c r="E7" s="98">
        <v>146</v>
      </c>
      <c r="F7" s="98">
        <v>72</v>
      </c>
      <c r="I7" t="s">
        <v>291</v>
      </c>
      <c r="J7" t="s">
        <v>292</v>
      </c>
      <c r="K7" t="s">
        <v>283</v>
      </c>
      <c r="L7" t="s">
        <v>293</v>
      </c>
      <c r="M7" t="s">
        <v>294</v>
      </c>
      <c r="N7">
        <v>2730</v>
      </c>
      <c r="O7" s="100">
        <v>400</v>
      </c>
      <c r="P7">
        <v>9399</v>
      </c>
    </row>
    <row r="8" hidden="1" spans="2:16">
      <c r="B8" s="105"/>
      <c r="C8" t="s">
        <v>295</v>
      </c>
      <c r="D8">
        <v>304</v>
      </c>
      <c r="H8" t="s">
        <v>281</v>
      </c>
      <c r="O8" s="100">
        <v>400</v>
      </c>
      <c r="P8" s="126">
        <v>11299</v>
      </c>
    </row>
    <row r="9" hidden="1" spans="2:16">
      <c r="B9" s="105"/>
      <c r="C9" t="s">
        <v>296</v>
      </c>
      <c r="D9">
        <v>304</v>
      </c>
      <c r="H9" t="s">
        <v>281</v>
      </c>
      <c r="O9" s="100">
        <v>400</v>
      </c>
      <c r="P9" s="126">
        <v>9700</v>
      </c>
    </row>
    <row r="10" hidden="1" spans="2:16">
      <c r="B10" s="105" t="s">
        <v>297</v>
      </c>
      <c r="C10" t="s">
        <v>298</v>
      </c>
      <c r="D10">
        <v>359</v>
      </c>
      <c r="O10" s="100">
        <v>400</v>
      </c>
      <c r="P10" s="183" t="s">
        <v>299</v>
      </c>
    </row>
    <row r="11" hidden="1" spans="2:16">
      <c r="B11" s="105"/>
      <c r="C11" t="s">
        <v>300</v>
      </c>
      <c r="O11" s="100">
        <v>400</v>
      </c>
      <c r="P11" s="126">
        <v>11879</v>
      </c>
    </row>
    <row r="12" spans="2:16">
      <c r="B12" s="105"/>
      <c r="C12" s="109" t="s">
        <v>301</v>
      </c>
      <c r="D12" s="98">
        <v>338</v>
      </c>
      <c r="E12" s="98">
        <v>140</v>
      </c>
      <c r="F12" s="100">
        <v>50</v>
      </c>
      <c r="I12">
        <v>1362</v>
      </c>
      <c r="J12" t="s">
        <v>302</v>
      </c>
      <c r="K12" t="s">
        <v>303</v>
      </c>
      <c r="L12">
        <v>3</v>
      </c>
      <c r="M12" t="s">
        <v>304</v>
      </c>
      <c r="N12">
        <v>2715</v>
      </c>
      <c r="O12" s="100">
        <v>400</v>
      </c>
      <c r="P12">
        <v>10999</v>
      </c>
    </row>
    <row r="13" hidden="1" spans="2:16">
      <c r="B13" s="105"/>
      <c r="C13" t="s">
        <v>305</v>
      </c>
      <c r="H13" t="s">
        <v>281</v>
      </c>
      <c r="O13" s="110">
        <v>360</v>
      </c>
    </row>
    <row r="14" spans="2:16">
      <c r="B14" s="105"/>
      <c r="C14" s="110" t="s">
        <v>306</v>
      </c>
      <c r="D14" s="4">
        <v>303</v>
      </c>
      <c r="E14" s="109">
        <v>121</v>
      </c>
      <c r="F14" s="100">
        <v>49</v>
      </c>
      <c r="H14" t="s">
        <v>281</v>
      </c>
      <c r="I14">
        <v>1084</v>
      </c>
      <c r="J14" t="s">
        <v>307</v>
      </c>
      <c r="K14" t="s">
        <v>303</v>
      </c>
      <c r="L14">
        <v>3</v>
      </c>
      <c r="M14" t="s">
        <v>308</v>
      </c>
      <c r="N14">
        <v>2655</v>
      </c>
      <c r="O14" s="110">
        <v>360</v>
      </c>
      <c r="P14">
        <v>9299</v>
      </c>
    </row>
    <row r="15" hidden="1" spans="2:16">
      <c r="B15" s="105"/>
      <c r="C15" t="s">
        <v>309</v>
      </c>
      <c r="H15" t="s">
        <v>281</v>
      </c>
      <c r="O15" s="109">
        <v>380</v>
      </c>
    </row>
    <row r="16" hidden="1" spans="2:16">
      <c r="B16" s="105"/>
      <c r="C16" t="s">
        <v>310</v>
      </c>
      <c r="H16" t="s">
        <v>281</v>
      </c>
      <c r="O16" s="110">
        <v>360</v>
      </c>
      <c r="P16" s="126">
        <v>9599</v>
      </c>
    </row>
    <row r="17" hidden="1" spans="2:17">
      <c r="B17" s="105" t="s">
        <v>311</v>
      </c>
      <c r="C17" t="s">
        <v>312</v>
      </c>
      <c r="O17" s="98">
        <v>450</v>
      </c>
    </row>
    <row r="18" hidden="1" spans="2:17">
      <c r="B18" s="105"/>
      <c r="C18" t="s">
        <v>313</v>
      </c>
      <c r="O18" s="98">
        <v>450</v>
      </c>
    </row>
    <row r="19" hidden="1" spans="2:17">
      <c r="B19" s="105"/>
      <c r="C19" t="s">
        <v>314</v>
      </c>
    </row>
    <row r="20" hidden="1" spans="2:17">
      <c r="B20" s="105"/>
      <c r="C20" t="s">
        <v>315</v>
      </c>
      <c r="H20" t="s">
        <v>281</v>
      </c>
      <c r="O20" s="100">
        <v>400</v>
      </c>
      <c r="P20">
        <v>9349</v>
      </c>
      <c r="Q20" t="s">
        <v>316</v>
      </c>
    </row>
    <row r="21" spans="2:17">
      <c r="B21" s="105"/>
      <c r="C21" s="109" t="s">
        <v>317</v>
      </c>
      <c r="D21">
        <v>304</v>
      </c>
      <c r="E21" s="109">
        <v>126</v>
      </c>
      <c r="F21" s="100">
        <v>50</v>
      </c>
      <c r="H21" t="s">
        <v>281</v>
      </c>
      <c r="I21" t="s">
        <v>291</v>
      </c>
      <c r="J21" t="s">
        <v>318</v>
      </c>
      <c r="K21" t="s">
        <v>303</v>
      </c>
      <c r="L21" t="s">
        <v>319</v>
      </c>
      <c r="M21" t="s">
        <v>308</v>
      </c>
      <c r="N21">
        <v>2670</v>
      </c>
      <c r="O21" s="100">
        <v>400</v>
      </c>
      <c r="P21">
        <v>9099</v>
      </c>
    </row>
    <row r="22" spans="2:17">
      <c r="B22" s="105" t="s">
        <v>320</v>
      </c>
      <c r="C22" t="s">
        <v>321</v>
      </c>
      <c r="O22" s="100">
        <v>400</v>
      </c>
      <c r="P22" s="126">
        <v>12499</v>
      </c>
    </row>
    <row r="23" spans="2:17">
      <c r="B23" s="105"/>
      <c r="C23" t="s">
        <v>322</v>
      </c>
      <c r="O23" s="100">
        <v>400</v>
      </c>
      <c r="P23" s="126"/>
    </row>
    <row r="24" spans="2:17">
      <c r="B24" s="105"/>
      <c r="C24" t="s">
        <v>323</v>
      </c>
      <c r="O24">
        <v>390</v>
      </c>
      <c r="P24" s="126">
        <v>11699</v>
      </c>
    </row>
    <row r="25" spans="2:17">
      <c r="B25" s="105"/>
      <c r="C25" t="s">
        <v>324</v>
      </c>
      <c r="O25" s="109">
        <v>380</v>
      </c>
      <c r="P25" s="126">
        <v>10749</v>
      </c>
      <c r="Q25" t="s">
        <v>316</v>
      </c>
    </row>
    <row r="26" spans="2:17">
      <c r="C26" t="s">
        <v>325</v>
      </c>
    </row>
    <row r="33" spans="2:13">
      <c r="B33" s="127" t="s">
        <v>326</v>
      </c>
      <c r="C33" s="127" t="s">
        <v>327</v>
      </c>
      <c r="D33" s="127" t="s">
        <v>328</v>
      </c>
      <c r="E33" s="127" t="s">
        <v>329</v>
      </c>
      <c r="F33" s="127" t="s">
        <v>330</v>
      </c>
      <c r="G33" s="127" t="s">
        <v>331</v>
      </c>
      <c r="H33" s="127" t="s">
        <v>273</v>
      </c>
      <c r="I33" s="127" t="s">
        <v>332</v>
      </c>
      <c r="J33" s="127" t="s">
        <v>333</v>
      </c>
      <c r="K33" s="127" t="s">
        <v>334</v>
      </c>
      <c r="L33" t="s">
        <v>335</v>
      </c>
    </row>
    <row r="34" spans="2:13"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>
        <f>SUM(B34:K34)</f>
        <v>0</v>
      </c>
      <c r="M34">
        <f>L34+L35</f>
        <v>22157.53</v>
      </c>
    </row>
    <row r="35" spans="2:13">
      <c r="B35" s="127">
        <f t="shared" ref="B35:K35" si="0">SUM(B36:B38)</f>
        <v>2509</v>
      </c>
      <c r="C35" s="127">
        <f t="shared" si="0"/>
        <v>1349</v>
      </c>
      <c r="D35" s="127">
        <f t="shared" si="0"/>
        <v>8899</v>
      </c>
      <c r="E35" s="127">
        <f t="shared" si="0"/>
        <v>1779</v>
      </c>
      <c r="F35" s="127">
        <f t="shared" si="0"/>
        <v>5345</v>
      </c>
      <c r="G35" s="127">
        <f t="shared" si="0"/>
        <v>549</v>
      </c>
      <c r="H35" s="127">
        <f t="shared" si="0"/>
        <v>721</v>
      </c>
      <c r="I35" s="127">
        <f t="shared" si="0"/>
        <v>396</v>
      </c>
      <c r="J35" s="127">
        <f t="shared" si="0"/>
        <v>489</v>
      </c>
      <c r="K35" s="127">
        <f t="shared" si="0"/>
        <v>121.53</v>
      </c>
      <c r="L35">
        <f>SUM(B35:K35)</f>
        <v>22157.53</v>
      </c>
    </row>
    <row r="36" spans="2:13">
      <c r="B36" s="128">
        <v>2509</v>
      </c>
      <c r="C36" s="129">
        <v>1349</v>
      </c>
      <c r="D36" s="130">
        <v>8899</v>
      </c>
      <c r="E36" s="130">
        <v>1779</v>
      </c>
      <c r="F36" s="129">
        <v>1089</v>
      </c>
      <c r="G36" s="129">
        <v>549</v>
      </c>
      <c r="H36" s="129">
        <v>479</v>
      </c>
      <c r="I36" s="129">
        <v>396</v>
      </c>
      <c r="J36" s="131">
        <v>489</v>
      </c>
      <c r="K36" s="132">
        <v>32.9</v>
      </c>
      <c r="L36">
        <f>SUM(B36:J36)</f>
        <v>17538</v>
      </c>
    </row>
    <row r="37" spans="2:13">
      <c r="B37" s="133"/>
      <c r="F37">
        <v>1190</v>
      </c>
      <c r="H37">
        <v>242</v>
      </c>
      <c r="K37" s="134">
        <v>65.33</v>
      </c>
    </row>
    <row r="38" ht="15.15" spans="2:13">
      <c r="B38" s="135"/>
      <c r="C38" s="136"/>
      <c r="D38" s="136"/>
      <c r="E38" s="136"/>
      <c r="F38" s="137">
        <v>3066</v>
      </c>
      <c r="G38" s="136"/>
      <c r="H38" s="136"/>
      <c r="I38" s="136"/>
      <c r="J38" s="136"/>
      <c r="K38" s="138">
        <f>18.4+4.9</f>
        <v>23.3</v>
      </c>
    </row>
    <row r="39" spans="2:13">
      <c r="B39" t="str">
        <f>TEXT(B35/$M34,"#.00%")</f>
        <v>11.32%</v>
      </c>
      <c r="C39" t="str">
        <f t="shared" ref="C39:K39" si="1">TEXT(C35/$M34,"#.00%")</f>
        <v>6.09%</v>
      </c>
      <c r="D39" t="str">
        <f t="shared" si="1"/>
        <v>40.16%</v>
      </c>
      <c r="E39" t="str">
        <f t="shared" si="1"/>
        <v>8.03%</v>
      </c>
      <c r="F39" t="str">
        <f t="shared" si="1"/>
        <v>24.12%</v>
      </c>
      <c r="G39" t="str">
        <f t="shared" si="1"/>
        <v>2.48%</v>
      </c>
      <c r="H39" t="str">
        <f t="shared" si="1"/>
        <v>3.25%</v>
      </c>
      <c r="I39" t="str">
        <f t="shared" si="1"/>
        <v>1.79%</v>
      </c>
      <c r="J39" t="str">
        <f t="shared" si="1"/>
        <v>2.21%</v>
      </c>
      <c r="K39" t="str">
        <f t="shared" si="1"/>
        <v>.55%</v>
      </c>
    </row>
    <row r="51" spans="2:11">
      <c r="B51" s="127" t="s">
        <v>326</v>
      </c>
      <c r="C51" s="127" t="s">
        <v>327</v>
      </c>
      <c r="D51" s="127" t="s">
        <v>328</v>
      </c>
      <c r="E51" s="127" t="s">
        <v>329</v>
      </c>
      <c r="F51" s="127" t="s">
        <v>330</v>
      </c>
      <c r="G51" s="127" t="s">
        <v>331</v>
      </c>
      <c r="H51" s="127" t="s">
        <v>273</v>
      </c>
      <c r="I51" s="127" t="s">
        <v>332</v>
      </c>
      <c r="J51" s="127" t="s">
        <v>333</v>
      </c>
      <c r="K51" s="127" t="s">
        <v>334</v>
      </c>
    </row>
    <row r="52" spans="2:11">
      <c r="B52" s="139">
        <v>0.1134</v>
      </c>
      <c r="C52" s="139">
        <v>0.0609</v>
      </c>
      <c r="D52" s="139">
        <v>0.402</v>
      </c>
      <c r="E52" s="139">
        <v>0.0804</v>
      </c>
      <c r="F52" s="139">
        <v>0.2415</v>
      </c>
      <c r="G52" s="139">
        <v>0.0248</v>
      </c>
      <c r="H52" s="139">
        <v>0.0326</v>
      </c>
      <c r="I52" s="139">
        <v>0.0179</v>
      </c>
      <c r="J52" s="139">
        <v>0.0221</v>
      </c>
      <c r="K52" s="139">
        <v>0.0044</v>
      </c>
    </row>
  </sheetData>
  <mergeCells count="4">
    <mergeCell ref="B4:B9"/>
    <mergeCell ref="B10:B16"/>
    <mergeCell ref="B17:B21"/>
    <mergeCell ref="B22:B25"/>
  </mergeCells>
  <pageMargins left="0.75" right="0.75" top="1" bottom="1" header="0.5" footer="0.5"/>
  <headerFooter/>
  <ignoredErrors>
    <ignoredError sqref="L36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42"/>
  <sheetViews>
    <sheetView tabSelected="1" zoomScale="81" zoomScaleNormal="81" workbookViewId="0">
      <selection activeCell="G12" sqref="G12"/>
    </sheetView>
  </sheetViews>
  <sheetFormatPr defaultColWidth="9" defaultRowHeight="14.4"/>
  <cols>
    <col min="2" max="2" width="12.0185185185185" customWidth="1"/>
    <col min="3" max="3" width="12.2037037037037" style="106" customWidth="1"/>
    <col min="5" max="5" width="8.24074074074074" customWidth="1"/>
    <col min="6" max="11" width="9" customWidth="1"/>
    <col min="13" max="13" width="9" customWidth="1"/>
  </cols>
  <sheetData>
    <row r="1" spans="2:21">
      <c r="F1">
        <v>2025</v>
      </c>
      <c r="N1">
        <v>2026</v>
      </c>
    </row>
    <row r="2" spans="2:21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N2">
        <v>6</v>
      </c>
      <c r="O2">
        <v>7</v>
      </c>
      <c r="P2" s="8" t="s">
        <v>336</v>
      </c>
      <c r="Q2">
        <v>8</v>
      </c>
      <c r="R2">
        <v>9</v>
      </c>
      <c r="S2">
        <v>10</v>
      </c>
      <c r="T2">
        <v>11</v>
      </c>
      <c r="U2">
        <v>12</v>
      </c>
    </row>
    <row r="3" spans="2:21">
      <c r="B3" s="107" t="s">
        <v>337</v>
      </c>
      <c r="C3" s="106">
        <v>5090</v>
      </c>
      <c r="D3" s="108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09">
        <v>21500</v>
      </c>
      <c r="L3" s="109">
        <v>20599</v>
      </c>
      <c r="M3" s="1" t="str">
        <f>TEXT((S3-L3)/L3,"0.0%")</f>
        <v>130.6%</v>
      </c>
      <c r="N3">
        <v>31488</v>
      </c>
      <c r="O3">
        <v>31999</v>
      </c>
      <c r="P3">
        <v>30999</v>
      </c>
      <c r="Q3">
        <v>35099</v>
      </c>
      <c r="R3">
        <v>40000</v>
      </c>
      <c r="S3">
        <v>47500</v>
      </c>
    </row>
    <row r="4" spans="2:21">
      <c r="B4" s="107"/>
      <c r="C4" s="106" t="s">
        <v>20</v>
      </c>
      <c r="D4" s="108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0">
        <v>21399</v>
      </c>
      <c r="M4" s="1" t="str">
        <f>TEXT((S4-L4)/L4,"0.0%")</f>
        <v>95.3%</v>
      </c>
      <c r="N4">
        <v>27969</v>
      </c>
      <c r="O4">
        <v>28999</v>
      </c>
      <c r="P4">
        <v>30999</v>
      </c>
      <c r="Q4">
        <v>33999</v>
      </c>
      <c r="R4">
        <v>38000</v>
      </c>
      <c r="S4">
        <v>41800</v>
      </c>
    </row>
    <row r="5" spans="2:21">
      <c r="B5" s="107"/>
      <c r="C5" s="106" t="s">
        <v>21</v>
      </c>
      <c r="D5" s="108">
        <v>119443</v>
      </c>
      <c r="E5">
        <f>119443/18569</f>
        <v>6.43238731218698</v>
      </c>
      <c r="L5" s="4"/>
      <c r="M5" s="111"/>
      <c r="N5" s="110">
        <v>18569</v>
      </c>
      <c r="O5" s="109">
        <v>18700</v>
      </c>
      <c r="P5">
        <v>21264</v>
      </c>
      <c r="Q5">
        <v>21794</v>
      </c>
      <c r="R5">
        <v>26000</v>
      </c>
      <c r="S5">
        <v>26500</v>
      </c>
    </row>
    <row r="6" spans="2:21">
      <c r="B6" s="107"/>
      <c r="C6" s="106">
        <v>5080</v>
      </c>
      <c r="D6" s="2">
        <v>78535</v>
      </c>
      <c r="E6">
        <f t="shared" ref="E6:E40" si="0">ROUND(D6/L6,2)</f>
        <v>8.73</v>
      </c>
      <c r="G6">
        <v>9899</v>
      </c>
      <c r="H6" s="109">
        <v>9795</v>
      </c>
      <c r="I6" s="110">
        <v>8798</v>
      </c>
      <c r="J6" s="110">
        <v>8599</v>
      </c>
      <c r="K6" s="110">
        <v>8899</v>
      </c>
      <c r="L6" s="110">
        <v>8999</v>
      </c>
      <c r="M6" s="1" t="str">
        <f>TEXT((S6-L6)/L6,"0.0%")</f>
        <v>44.5%</v>
      </c>
      <c r="N6" s="110">
        <v>8542</v>
      </c>
      <c r="O6" s="109">
        <v>8740</v>
      </c>
      <c r="P6">
        <v>9999</v>
      </c>
      <c r="Q6">
        <v>10198</v>
      </c>
      <c r="R6">
        <v>12500</v>
      </c>
      <c r="S6">
        <v>13000</v>
      </c>
    </row>
    <row r="7" spans="2:21">
      <c r="B7" s="107"/>
      <c r="C7" s="106" t="s">
        <v>34</v>
      </c>
      <c r="D7" s="2">
        <v>66857</v>
      </c>
      <c r="E7">
        <f t="shared" si="0"/>
        <v>9.8</v>
      </c>
      <c r="H7" s="110">
        <v>7189</v>
      </c>
      <c r="I7" s="110">
        <v>6578</v>
      </c>
      <c r="J7" s="110">
        <v>6579</v>
      </c>
      <c r="K7" s="110">
        <v>6599</v>
      </c>
      <c r="L7" s="110">
        <v>6819</v>
      </c>
      <c r="M7" s="1" t="str">
        <f>TEXT((S7-L7)/L7,"0.0%")</f>
        <v>39.3%</v>
      </c>
      <c r="N7" s="110">
        <v>6771</v>
      </c>
      <c r="O7">
        <v>7128</v>
      </c>
      <c r="P7">
        <v>7799</v>
      </c>
      <c r="Q7">
        <v>8314</v>
      </c>
      <c r="R7">
        <v>9000</v>
      </c>
      <c r="S7">
        <v>9500</v>
      </c>
    </row>
    <row r="8" spans="2:21">
      <c r="B8" s="107"/>
      <c r="C8" s="106">
        <v>5070</v>
      </c>
      <c r="D8" s="3">
        <v>52209</v>
      </c>
      <c r="E8">
        <f t="shared" si="0"/>
        <v>11.71</v>
      </c>
      <c r="I8" s="110">
        <v>4761</v>
      </c>
      <c r="J8" s="109">
        <v>4569</v>
      </c>
      <c r="K8" s="110">
        <v>4628</v>
      </c>
      <c r="L8" s="110">
        <v>4459</v>
      </c>
      <c r="M8" s="1" t="str">
        <f>TEXT((S8-L8)/L8,"0.0%")</f>
        <v>59.2%</v>
      </c>
      <c r="N8" s="110">
        <v>4399</v>
      </c>
      <c r="O8">
        <v>4799</v>
      </c>
      <c r="P8">
        <v>5499</v>
      </c>
      <c r="Q8">
        <v>5779</v>
      </c>
      <c r="R8">
        <v>6600</v>
      </c>
      <c r="S8">
        <v>7100</v>
      </c>
    </row>
    <row r="9" spans="2:21">
      <c r="B9" s="107"/>
      <c r="C9" s="106" t="s">
        <v>54</v>
      </c>
      <c r="D9" s="5">
        <v>35924</v>
      </c>
      <c r="E9">
        <f t="shared" si="0"/>
        <v>9.98</v>
      </c>
      <c r="J9" s="110">
        <v>3599</v>
      </c>
      <c r="K9" s="110">
        <v>3599</v>
      </c>
      <c r="L9" s="109">
        <v>3599</v>
      </c>
      <c r="M9" s="1" t="str">
        <f>TEXT((S9-L9)/L9,"0.0%")</f>
        <v>50.0%</v>
      </c>
      <c r="N9" s="4">
        <v>3699</v>
      </c>
      <c r="O9">
        <v>3715</v>
      </c>
      <c r="P9">
        <v>4599</v>
      </c>
      <c r="Q9">
        <v>4899</v>
      </c>
      <c r="R9">
        <v>5300</v>
      </c>
      <c r="S9">
        <v>5400</v>
      </c>
    </row>
    <row r="10" spans="2:21">
      <c r="B10" s="107"/>
      <c r="C10" s="106" t="s">
        <v>55</v>
      </c>
      <c r="D10" s="5">
        <v>35924</v>
      </c>
      <c r="E10">
        <f t="shared" si="0"/>
        <v>11.59</v>
      </c>
      <c r="J10" s="110">
        <v>3199</v>
      </c>
      <c r="K10" s="109">
        <v>3266</v>
      </c>
      <c r="L10" s="110">
        <v>3099</v>
      </c>
      <c r="M10" s="3" t="str">
        <f>TEXT((S10-L10)/L10,"0.0%")</f>
        <v>19.4%</v>
      </c>
      <c r="N10" s="110">
        <v>2698</v>
      </c>
      <c r="O10" s="109">
        <v>2899</v>
      </c>
      <c r="P10">
        <v>3199</v>
      </c>
      <c r="Q10">
        <v>3299</v>
      </c>
      <c r="R10">
        <v>3500</v>
      </c>
      <c r="S10">
        <v>3700</v>
      </c>
    </row>
    <row r="11" spans="2:21">
      <c r="B11" s="107"/>
      <c r="C11" s="106">
        <v>5060</v>
      </c>
      <c r="D11" s="112">
        <v>32816</v>
      </c>
      <c r="E11">
        <f t="shared" si="0"/>
        <v>13.13</v>
      </c>
      <c r="K11" s="109">
        <v>2648</v>
      </c>
      <c r="L11" s="110">
        <v>2499</v>
      </c>
      <c r="M11" s="1" t="str">
        <f>TEXT((S11-L11)/L11,"0.0%")</f>
        <v>32.1%</v>
      </c>
      <c r="N11" s="110">
        <v>2288</v>
      </c>
      <c r="O11" s="109">
        <v>2379</v>
      </c>
      <c r="P11">
        <v>2690</v>
      </c>
      <c r="Q11">
        <v>2801</v>
      </c>
      <c r="R11">
        <v>3000</v>
      </c>
      <c r="S11">
        <v>3300</v>
      </c>
    </row>
    <row r="12" spans="2:21">
      <c r="B12" s="107"/>
      <c r="C12" s="113">
        <v>5050</v>
      </c>
      <c r="D12" s="114">
        <v>23537</v>
      </c>
      <c r="E12">
        <f t="shared" si="0"/>
        <v>11.21</v>
      </c>
      <c r="L12">
        <v>2099</v>
      </c>
      <c r="M12" s="2" t="str">
        <f>TEXT((S12-L12)/L12,"0.0%")</f>
        <v>23.9%</v>
      </c>
      <c r="N12" s="110">
        <v>1789</v>
      </c>
      <c r="O12">
        <v>1879</v>
      </c>
      <c r="P12">
        <v>2099</v>
      </c>
      <c r="Q12">
        <v>2224</v>
      </c>
      <c r="R12">
        <v>2500</v>
      </c>
      <c r="S12">
        <v>2600</v>
      </c>
    </row>
    <row r="13" spans="2:21">
      <c r="B13" s="115" t="s">
        <v>338</v>
      </c>
      <c r="C13" s="106">
        <v>4090</v>
      </c>
      <c r="D13" s="116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  <c r="M13" s="111"/>
    </row>
    <row r="14" spans="2:21">
      <c r="B14" s="117"/>
      <c r="C14" s="106" t="s">
        <v>22</v>
      </c>
      <c r="D14" s="116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  <c r="M14" s="111"/>
    </row>
    <row r="15" spans="2:21">
      <c r="B15" s="117"/>
      <c r="C15" s="106" t="s">
        <v>33</v>
      </c>
      <c r="D15" s="2">
        <v>67687</v>
      </c>
      <c r="F15">
        <v>7254</v>
      </c>
      <c r="G15" s="109">
        <v>7299</v>
      </c>
      <c r="H15">
        <v>7697</v>
      </c>
      <c r="I15">
        <v>8600</v>
      </c>
      <c r="J15">
        <v>8899</v>
      </c>
      <c r="M15" s="111"/>
    </row>
    <row r="16" spans="2:21">
      <c r="B16" s="117"/>
      <c r="C16" s="106" t="s">
        <v>36</v>
      </c>
      <c r="D16" s="3">
        <v>57038</v>
      </c>
      <c r="F16" s="109">
        <v>5588</v>
      </c>
      <c r="G16" s="109">
        <v>5549</v>
      </c>
      <c r="H16" s="109">
        <v>5948</v>
      </c>
      <c r="I16">
        <v>5999</v>
      </c>
      <c r="M16" s="111"/>
    </row>
    <row r="17" spans="2:19">
      <c r="B17" s="117"/>
      <c r="C17" s="106" t="s">
        <v>43</v>
      </c>
      <c r="D17" s="3">
        <v>49052</v>
      </c>
      <c r="E17">
        <f t="shared" si="0"/>
        <v>11.42</v>
      </c>
      <c r="F17" s="110">
        <v>4699</v>
      </c>
      <c r="G17">
        <v>4867</v>
      </c>
      <c r="H17">
        <v>5059</v>
      </c>
      <c r="I17">
        <v>4589</v>
      </c>
      <c r="J17" s="110">
        <v>4199</v>
      </c>
      <c r="K17" s="110">
        <v>4199</v>
      </c>
      <c r="L17">
        <v>4294</v>
      </c>
      <c r="M17" s="111"/>
    </row>
    <row r="18" spans="2:19">
      <c r="B18" s="117"/>
      <c r="C18" s="106">
        <v>4070</v>
      </c>
      <c r="D18" s="3">
        <v>41204</v>
      </c>
      <c r="E18">
        <f t="shared" si="0"/>
        <v>11.45</v>
      </c>
      <c r="F18" s="109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  <c r="M18" s="111"/>
    </row>
    <row r="19" spans="2:19">
      <c r="B19" s="117"/>
      <c r="C19" s="106" t="s">
        <v>61</v>
      </c>
      <c r="D19" s="5">
        <v>30861</v>
      </c>
      <c r="E19">
        <f t="shared" si="0"/>
        <v>10.65</v>
      </c>
      <c r="F19" s="109">
        <v>3402</v>
      </c>
      <c r="G19">
        <v>3699</v>
      </c>
      <c r="H19" s="109">
        <v>3519</v>
      </c>
      <c r="I19" s="109">
        <v>3650</v>
      </c>
      <c r="L19" s="109">
        <v>2899</v>
      </c>
      <c r="M19" s="111"/>
    </row>
    <row r="20" spans="2:19">
      <c r="B20" s="117"/>
      <c r="C20" s="106" t="s">
        <v>62</v>
      </c>
      <c r="D20" s="5">
        <v>30861</v>
      </c>
      <c r="E20">
        <f t="shared" si="0"/>
        <v>13.42</v>
      </c>
      <c r="F20" s="109">
        <v>2945</v>
      </c>
      <c r="G20">
        <v>3232</v>
      </c>
      <c r="H20">
        <v>3219</v>
      </c>
      <c r="I20" s="109">
        <v>2999</v>
      </c>
      <c r="J20">
        <v>2959</v>
      </c>
      <c r="K20">
        <v>2969</v>
      </c>
      <c r="L20">
        <v>2299</v>
      </c>
      <c r="M20" s="111"/>
    </row>
    <row r="21" spans="2:19">
      <c r="B21" s="117"/>
      <c r="C21" s="106">
        <v>4060</v>
      </c>
      <c r="D21" s="118">
        <v>23865</v>
      </c>
      <c r="E21">
        <f t="shared" si="0"/>
        <v>10.87</v>
      </c>
      <c r="F21" s="109">
        <v>2014</v>
      </c>
      <c r="G21" s="109">
        <v>2061</v>
      </c>
      <c r="H21" s="109">
        <v>2229</v>
      </c>
      <c r="I21">
        <v>2398</v>
      </c>
      <c r="J21">
        <v>2324</v>
      </c>
      <c r="K21">
        <v>2399</v>
      </c>
      <c r="L21">
        <v>2195</v>
      </c>
      <c r="M21" s="111"/>
    </row>
    <row r="22" s="4" customFormat="1" spans="2:19">
      <c r="B22" s="97" t="s">
        <v>339</v>
      </c>
      <c r="C22" s="119" t="s">
        <v>28</v>
      </c>
      <c r="D22" s="2">
        <v>68953</v>
      </c>
      <c r="E22">
        <f t="shared" si="0"/>
        <v>13.79</v>
      </c>
      <c r="I22" s="98">
        <v>5499</v>
      </c>
      <c r="J22" s="98">
        <v>5289</v>
      </c>
      <c r="K22" s="98">
        <v>5289</v>
      </c>
      <c r="L22" s="98">
        <v>4999</v>
      </c>
      <c r="M22" s="2" t="str">
        <f>TEXT((S22-L22)/L22,"0.0%")</f>
        <v>22.0%</v>
      </c>
      <c r="N22" s="98">
        <v>4123</v>
      </c>
      <c r="O22" s="98">
        <v>4199</v>
      </c>
      <c r="P22" s="4">
        <v>4799</v>
      </c>
      <c r="Q22" s="4">
        <v>5199</v>
      </c>
      <c r="R22" s="4">
        <v>5700</v>
      </c>
      <c r="S22" s="4">
        <v>6100</v>
      </c>
    </row>
    <row r="23" s="4" customFormat="1" spans="2:19">
      <c r="B23" s="97"/>
      <c r="C23" s="119">
        <v>9070</v>
      </c>
      <c r="D23" s="2">
        <v>60503</v>
      </c>
      <c r="E23">
        <f t="shared" si="0"/>
        <v>13.66</v>
      </c>
      <c r="I23" s="98">
        <v>4750</v>
      </c>
      <c r="J23" s="98">
        <v>4599</v>
      </c>
      <c r="K23" s="98">
        <v>4438</v>
      </c>
      <c r="L23" s="98">
        <v>4429</v>
      </c>
      <c r="M23" s="2" t="str">
        <f>TEXT((S23-L23)/L23,"0.0%")</f>
        <v>21.9%</v>
      </c>
      <c r="N23" s="100">
        <v>3759</v>
      </c>
      <c r="O23" s="4">
        <v>3861</v>
      </c>
      <c r="P23" s="4">
        <v>4399</v>
      </c>
      <c r="Q23" s="4">
        <v>4689</v>
      </c>
      <c r="R23" s="4">
        <v>5200</v>
      </c>
      <c r="S23" s="4">
        <v>5400</v>
      </c>
    </row>
    <row r="24" customFormat="1" spans="2:19">
      <c r="B24" s="97"/>
      <c r="C24" s="106" t="s">
        <v>41</v>
      </c>
      <c r="D24" s="3">
        <v>52384</v>
      </c>
      <c r="E24">
        <f t="shared" si="0"/>
        <v>14.6</v>
      </c>
      <c r="J24">
        <v>3899</v>
      </c>
      <c r="K24" s="100">
        <v>3699</v>
      </c>
      <c r="L24" s="98">
        <v>3589</v>
      </c>
      <c r="M24" s="3" t="str">
        <f>TEXT((S24-L24)/L24,"0.0%")</f>
        <v>17.0%</v>
      </c>
      <c r="N24" s="98">
        <v>2929</v>
      </c>
      <c r="O24" s="100">
        <v>3300</v>
      </c>
      <c r="P24">
        <v>3499</v>
      </c>
      <c r="Q24">
        <v>3688</v>
      </c>
      <c r="R24">
        <v>3900</v>
      </c>
      <c r="S24">
        <v>4200</v>
      </c>
    </row>
    <row r="25" customFormat="1" spans="2:19">
      <c r="B25" s="97"/>
      <c r="C25" s="106" t="s">
        <v>51</v>
      </c>
      <c r="D25" s="5">
        <v>37402</v>
      </c>
      <c r="E25">
        <f t="shared" si="0"/>
        <v>13.66</v>
      </c>
      <c r="L25">
        <v>2739</v>
      </c>
      <c r="M25" s="1" t="str">
        <f>TEXT((S25-L25)/L25,"0.0%")</f>
        <v>31.4%</v>
      </c>
      <c r="N25" s="98">
        <v>2300</v>
      </c>
      <c r="O25" s="100">
        <v>2448</v>
      </c>
      <c r="P25">
        <v>2794</v>
      </c>
      <c r="Q25">
        <v>3075</v>
      </c>
      <c r="R25">
        <v>3300</v>
      </c>
      <c r="S25">
        <v>3600</v>
      </c>
    </row>
    <row r="26" customFormat="1" spans="2:19">
      <c r="B26" s="97"/>
      <c r="C26" s="106" t="s">
        <v>56</v>
      </c>
      <c r="D26" s="5">
        <v>35550</v>
      </c>
      <c r="E26">
        <f t="shared" si="0"/>
        <v>15.46</v>
      </c>
      <c r="L26">
        <v>2299</v>
      </c>
      <c r="M26" s="2" t="str">
        <f>TEXT((S26-L26)/L26,"0.0%")</f>
        <v>21.8%</v>
      </c>
      <c r="N26" s="100">
        <v>2024</v>
      </c>
      <c r="O26">
        <v>2188</v>
      </c>
      <c r="P26">
        <v>2199</v>
      </c>
      <c r="Q26">
        <v>2450</v>
      </c>
      <c r="R26">
        <v>2600</v>
      </c>
      <c r="S26">
        <v>2800</v>
      </c>
    </row>
    <row r="27" spans="2:19">
      <c r="B27" s="101" t="s">
        <v>340</v>
      </c>
      <c r="C27" s="106" t="s">
        <v>30</v>
      </c>
      <c r="D27" s="2">
        <v>68852</v>
      </c>
      <c r="E27">
        <f t="shared" si="0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  <c r="M27" s="111"/>
    </row>
    <row r="28" spans="2:19">
      <c r="B28" s="120"/>
      <c r="C28" s="106" t="s">
        <v>35</v>
      </c>
      <c r="D28" s="3">
        <v>59178</v>
      </c>
      <c r="E28">
        <f t="shared" si="0"/>
        <v>12.59</v>
      </c>
      <c r="F28" s="100">
        <v>4600</v>
      </c>
      <c r="G28" s="100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  <c r="M28" s="111"/>
    </row>
    <row r="29" spans="2:19">
      <c r="B29" s="120"/>
      <c r="C29" s="106" t="s">
        <v>42</v>
      </c>
      <c r="D29" s="3">
        <v>49316</v>
      </c>
      <c r="E29">
        <f t="shared" si="0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  <c r="M29" s="111"/>
    </row>
    <row r="30" spans="2:19">
      <c r="B30" s="120"/>
      <c r="C30" s="106" t="s">
        <v>48</v>
      </c>
      <c r="D30" s="3">
        <v>44404</v>
      </c>
      <c r="E30">
        <f t="shared" si="0"/>
        <v>12.69</v>
      </c>
      <c r="F30" s="100">
        <v>3297</v>
      </c>
      <c r="G30" s="98">
        <v>3249</v>
      </c>
      <c r="H30" s="98">
        <v>3499</v>
      </c>
      <c r="I30" s="98">
        <v>3612</v>
      </c>
      <c r="J30">
        <v>3539</v>
      </c>
      <c r="K30" s="98">
        <v>3399</v>
      </c>
      <c r="L30">
        <v>3499</v>
      </c>
      <c r="M30" s="111"/>
    </row>
    <row r="31" spans="2:19">
      <c r="B31" s="120"/>
      <c r="C31" s="106" t="s">
        <v>52</v>
      </c>
      <c r="D31" s="5">
        <v>37268</v>
      </c>
      <c r="E31">
        <f t="shared" si="0"/>
        <v>12.86</v>
      </c>
      <c r="F31" s="98">
        <v>2789</v>
      </c>
      <c r="G31" s="100">
        <v>2900</v>
      </c>
      <c r="H31" s="98">
        <v>2799</v>
      </c>
      <c r="I31" s="100">
        <v>2779</v>
      </c>
      <c r="J31">
        <v>2909</v>
      </c>
      <c r="K31">
        <v>2909</v>
      </c>
      <c r="L31">
        <v>2899</v>
      </c>
      <c r="M31" s="111"/>
    </row>
    <row r="32" spans="2:19">
      <c r="B32" s="120"/>
      <c r="C32" s="106" t="s">
        <v>74</v>
      </c>
      <c r="D32" s="118">
        <v>23981</v>
      </c>
      <c r="E32">
        <f t="shared" si="0"/>
        <v>13.64</v>
      </c>
      <c r="F32" s="4"/>
      <c r="H32" s="100">
        <v>1849</v>
      </c>
      <c r="I32" s="98">
        <v>1785</v>
      </c>
      <c r="J32" s="98">
        <v>1756</v>
      </c>
      <c r="K32" s="98">
        <v>1727</v>
      </c>
      <c r="L32" s="98">
        <v>1758</v>
      </c>
      <c r="M32" s="1" t="str">
        <f>TEXT((S32-L32)/L32,"0.0%")</f>
        <v>36.5%</v>
      </c>
      <c r="N32" s="100">
        <v>1623</v>
      </c>
      <c r="O32">
        <v>1739</v>
      </c>
      <c r="Q32">
        <v>1874</v>
      </c>
      <c r="R32">
        <v>2000</v>
      </c>
      <c r="S32">
        <v>2400</v>
      </c>
    </row>
    <row r="33" spans="2:19">
      <c r="B33" s="120"/>
      <c r="C33" s="106">
        <v>7600</v>
      </c>
      <c r="D33" s="118">
        <v>24153</v>
      </c>
      <c r="F33">
        <v>1699</v>
      </c>
      <c r="G33" s="100">
        <v>1748</v>
      </c>
      <c r="H33">
        <v>2099</v>
      </c>
      <c r="I33">
        <v>2099</v>
      </c>
      <c r="J33" s="100">
        <v>1700</v>
      </c>
      <c r="K33" s="100">
        <v>1688</v>
      </c>
    </row>
    <row r="34" spans="2:19">
      <c r="B34" s="121" t="s">
        <v>341</v>
      </c>
      <c r="C34" s="106" t="s">
        <v>342</v>
      </c>
      <c r="D34" s="118">
        <v>27231</v>
      </c>
      <c r="F34">
        <v>2399</v>
      </c>
      <c r="G34">
        <v>2494</v>
      </c>
      <c r="H34">
        <v>2549</v>
      </c>
      <c r="I34">
        <v>2398</v>
      </c>
    </row>
    <row r="35" spans="2:19">
      <c r="B35" s="122"/>
      <c r="C35" s="106" t="s">
        <v>76</v>
      </c>
      <c r="D35" s="118">
        <v>23560</v>
      </c>
      <c r="E35">
        <f t="shared" si="0"/>
        <v>11.85</v>
      </c>
      <c r="F35" s="98">
        <v>1699</v>
      </c>
      <c r="G35">
        <v>1909</v>
      </c>
      <c r="H35" s="98">
        <v>1889</v>
      </c>
      <c r="I35">
        <v>2099</v>
      </c>
      <c r="J35">
        <v>2049</v>
      </c>
      <c r="K35">
        <v>1989</v>
      </c>
      <c r="L35">
        <v>1988</v>
      </c>
    </row>
    <row r="36" spans="2:19">
      <c r="B36" s="122"/>
      <c r="C36" s="106" t="s">
        <v>80</v>
      </c>
      <c r="D36" s="118">
        <v>21062</v>
      </c>
      <c r="F36">
        <v>1599</v>
      </c>
      <c r="G36">
        <v>1789</v>
      </c>
    </row>
    <row r="37" spans="2:19">
      <c r="B37" s="122"/>
      <c r="C37" s="106">
        <v>6600</v>
      </c>
      <c r="D37" s="123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</row>
    <row r="38" spans="2:19">
      <c r="B38" s="122"/>
      <c r="C38" s="106" t="s">
        <v>95</v>
      </c>
      <c r="D38" s="124">
        <v>8617</v>
      </c>
      <c r="F38">
        <v>849</v>
      </c>
      <c r="G38">
        <v>849</v>
      </c>
      <c r="H38">
        <v>869</v>
      </c>
      <c r="I38">
        <v>1099</v>
      </c>
      <c r="J38">
        <v>888</v>
      </c>
    </row>
    <row r="39" spans="2:19">
      <c r="B39" s="122"/>
      <c r="C39" s="106">
        <v>6400</v>
      </c>
      <c r="D39" s="124">
        <v>5696</v>
      </c>
      <c r="F39">
        <v>799</v>
      </c>
      <c r="G39">
        <v>849</v>
      </c>
      <c r="H39">
        <v>799</v>
      </c>
      <c r="I39">
        <v>949</v>
      </c>
      <c r="J39">
        <v>949</v>
      </c>
    </row>
    <row r="40" spans="2:19">
      <c r="B40" s="125" t="s">
        <v>343</v>
      </c>
      <c r="C40" s="106" t="s">
        <v>59</v>
      </c>
      <c r="D40" s="5">
        <v>32989</v>
      </c>
      <c r="E40">
        <f t="shared" si="0"/>
        <v>18.04</v>
      </c>
      <c r="F40" s="88">
        <v>1799</v>
      </c>
      <c r="G40" s="88">
        <v>1800</v>
      </c>
      <c r="H40" s="88">
        <v>1849</v>
      </c>
      <c r="I40" s="88">
        <v>1859</v>
      </c>
      <c r="J40" s="88">
        <v>1819</v>
      </c>
      <c r="K40" s="88">
        <v>1819</v>
      </c>
      <c r="L40" s="88">
        <v>1829</v>
      </c>
      <c r="M40" s="1" t="str">
        <f>TEXT((S40-L40)/L40,"0.0%")</f>
        <v>47.6%</v>
      </c>
      <c r="N40">
        <v>1899</v>
      </c>
      <c r="O40">
        <v>1848</v>
      </c>
      <c r="P40" s="89">
        <v>1839</v>
      </c>
      <c r="Q40">
        <v>2099</v>
      </c>
      <c r="R40">
        <v>2400</v>
      </c>
      <c r="S40">
        <v>2700</v>
      </c>
    </row>
    <row r="41" spans="2:19">
      <c r="C41" s="106" t="s">
        <v>70</v>
      </c>
      <c r="P41">
        <v>1479</v>
      </c>
    </row>
    <row r="42" spans="2:19">
      <c r="F42">
        <v>15</v>
      </c>
      <c r="G42">
        <v>10</v>
      </c>
      <c r="H42">
        <v>15</v>
      </c>
      <c r="I42">
        <v>19</v>
      </c>
      <c r="J42">
        <v>20</v>
      </c>
      <c r="K42">
        <v>25</v>
      </c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E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4"/>
  <sheetViews>
    <sheetView zoomScale="80" zoomScaleNormal="80" workbookViewId="0">
      <selection activeCell="R17" sqref="R17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</cols>
  <sheetData>
    <row r="1" spans="1:18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2026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</row>
    <row r="2" spans="1:18">
      <c r="A2" s="87" t="s">
        <v>344</v>
      </c>
      <c r="B2" t="s">
        <v>123</v>
      </c>
      <c r="D2">
        <v>4090</v>
      </c>
      <c r="E2">
        <v>4199</v>
      </c>
      <c r="F2">
        <v>4130</v>
      </c>
      <c r="G2">
        <v>4059</v>
      </c>
      <c r="H2">
        <v>4090</v>
      </c>
      <c r="I2">
        <v>4090</v>
      </c>
      <c r="J2">
        <v>4159</v>
      </c>
      <c r="K2" s="5">
        <f>L2-J2</f>
        <v>-1449</v>
      </c>
      <c r="L2" s="4">
        <v>2710</v>
      </c>
      <c r="M2">
        <v>3000</v>
      </c>
      <c r="N2">
        <v>2950</v>
      </c>
    </row>
    <row r="3" spans="1:18">
      <c r="A3" s="87"/>
      <c r="B3" s="16" t="s">
        <v>122</v>
      </c>
      <c r="D3" s="4"/>
      <c r="E3" s="4"/>
      <c r="F3" s="4"/>
      <c r="G3" s="4"/>
      <c r="H3" s="4"/>
      <c r="I3" s="4"/>
      <c r="J3" s="4"/>
      <c r="L3" s="88">
        <v>2070</v>
      </c>
      <c r="M3" s="88">
        <v>1929</v>
      </c>
      <c r="N3" s="88">
        <v>2000</v>
      </c>
      <c r="O3" s="88">
        <v>1899</v>
      </c>
    </row>
    <row r="4" spans="1:18">
      <c r="A4" s="87"/>
      <c r="B4" t="s">
        <v>130</v>
      </c>
      <c r="D4" s="88">
        <v>2595</v>
      </c>
      <c r="E4" s="88">
        <v>2699</v>
      </c>
      <c r="F4" s="88">
        <v>2096</v>
      </c>
      <c r="G4" s="88">
        <v>2069</v>
      </c>
      <c r="H4" s="88">
        <v>2080</v>
      </c>
      <c r="I4" s="88">
        <v>2080</v>
      </c>
      <c r="J4" s="88">
        <v>1990</v>
      </c>
      <c r="K4" s="5">
        <f t="shared" ref="K3:K34" si="0">L4-J4</f>
        <v>-471</v>
      </c>
      <c r="L4" s="88">
        <v>1519</v>
      </c>
      <c r="M4" s="89">
        <v>1559</v>
      </c>
      <c r="N4">
        <v>1650</v>
      </c>
      <c r="O4" s="89">
        <v>1583</v>
      </c>
    </row>
    <row r="5" spans="1:18">
      <c r="A5" s="87"/>
      <c r="B5" s="16" t="s">
        <v>137</v>
      </c>
      <c r="D5" s="4"/>
      <c r="E5" s="4"/>
      <c r="F5" s="4"/>
      <c r="G5" s="4"/>
      <c r="H5" s="4"/>
      <c r="I5" s="4"/>
      <c r="J5" s="4"/>
      <c r="L5" s="88">
        <v>1379</v>
      </c>
      <c r="M5" s="88">
        <v>1364</v>
      </c>
      <c r="N5" s="89">
        <v>1450</v>
      </c>
      <c r="O5" s="88">
        <v>1229</v>
      </c>
    </row>
    <row r="6" spans="1:18">
      <c r="A6" s="87"/>
      <c r="B6" t="s">
        <v>142</v>
      </c>
      <c r="D6">
        <v>1770</v>
      </c>
      <c r="E6">
        <v>1765</v>
      </c>
      <c r="F6">
        <v>1734</v>
      </c>
      <c r="G6">
        <v>1699</v>
      </c>
      <c r="H6">
        <v>1820</v>
      </c>
      <c r="I6">
        <v>1820</v>
      </c>
      <c r="J6">
        <v>1759</v>
      </c>
      <c r="K6" s="5">
        <f t="shared" si="0"/>
        <v>-811</v>
      </c>
      <c r="L6" s="88">
        <v>948</v>
      </c>
      <c r="M6" s="88">
        <v>889</v>
      </c>
      <c r="N6">
        <v>1000</v>
      </c>
      <c r="O6" s="89">
        <v>939</v>
      </c>
    </row>
    <row r="7" spans="1:18">
      <c r="A7" s="87"/>
      <c r="B7" s="16" t="s">
        <v>154</v>
      </c>
      <c r="D7" s="4"/>
      <c r="E7" s="4"/>
      <c r="F7" s="4"/>
      <c r="G7" s="4"/>
      <c r="H7" s="4"/>
      <c r="I7" s="4"/>
      <c r="J7" s="4"/>
      <c r="L7" s="88">
        <v>700</v>
      </c>
      <c r="M7" s="88">
        <v>703</v>
      </c>
      <c r="N7" s="88">
        <v>660</v>
      </c>
    </row>
    <row r="8" spans="1:18">
      <c r="A8" s="87"/>
      <c r="B8" s="16" t="s">
        <v>155</v>
      </c>
      <c r="D8" s="4"/>
      <c r="E8" s="4"/>
      <c r="F8" s="4"/>
      <c r="G8" s="4"/>
      <c r="H8" s="4"/>
      <c r="I8" s="4"/>
      <c r="J8" s="4"/>
      <c r="L8">
        <v>700</v>
      </c>
      <c r="M8">
        <v>710</v>
      </c>
      <c r="N8">
        <v>720</v>
      </c>
    </row>
    <row r="9" spans="1:18">
      <c r="A9" s="90" t="s">
        <v>345</v>
      </c>
      <c r="B9" s="91" t="s">
        <v>129</v>
      </c>
      <c r="C9" s="4" t="s">
        <v>346</v>
      </c>
      <c r="D9">
        <v>3850</v>
      </c>
      <c r="E9">
        <v>4359</v>
      </c>
      <c r="F9" s="4"/>
      <c r="G9" s="4"/>
      <c r="H9" s="4"/>
      <c r="I9" s="4"/>
      <c r="J9" s="4"/>
      <c r="L9" s="4"/>
      <c r="M9" s="4"/>
      <c r="N9" s="4"/>
      <c r="O9" s="4"/>
      <c r="P9" s="4"/>
      <c r="Q9" s="4"/>
      <c r="R9" s="4"/>
    </row>
    <row r="10" spans="1:18">
      <c r="A10" s="92"/>
      <c r="B10" t="s">
        <v>131</v>
      </c>
      <c r="C10" s="4" t="s">
        <v>346</v>
      </c>
      <c r="D10" s="89">
        <v>2749</v>
      </c>
      <c r="E10" s="89">
        <v>2738</v>
      </c>
      <c r="F10">
        <v>2727</v>
      </c>
      <c r="G10">
        <v>2789</v>
      </c>
      <c r="H10" s="89">
        <v>2799</v>
      </c>
      <c r="I10" s="89">
        <v>2799</v>
      </c>
      <c r="J10" s="89">
        <v>2750</v>
      </c>
      <c r="K10" s="5">
        <f t="shared" si="0"/>
        <v>-260</v>
      </c>
      <c r="L10" s="89">
        <v>2490</v>
      </c>
      <c r="O10" s="4">
        <v>2470</v>
      </c>
    </row>
    <row r="11" spans="1:18">
      <c r="A11" s="92"/>
      <c r="B11" t="s">
        <v>136</v>
      </c>
      <c r="C11" s="4" t="s">
        <v>346</v>
      </c>
      <c r="D11" s="88">
        <v>2105</v>
      </c>
      <c r="E11" s="88">
        <v>2078</v>
      </c>
      <c r="F11">
        <v>2019</v>
      </c>
      <c r="G11">
        <v>2044</v>
      </c>
      <c r="H11">
        <v>2034</v>
      </c>
      <c r="I11">
        <v>2034</v>
      </c>
      <c r="J11">
        <v>2040</v>
      </c>
      <c r="K11" s="5">
        <f t="shared" si="0"/>
        <v>-50</v>
      </c>
      <c r="L11" s="89">
        <v>1990</v>
      </c>
      <c r="O11">
        <v>2175</v>
      </c>
    </row>
    <row r="12" spans="1:18">
      <c r="A12" s="92"/>
      <c r="B12" s="91" t="s">
        <v>148</v>
      </c>
      <c r="C12" s="4" t="s">
        <v>346</v>
      </c>
      <c r="D12" s="88">
        <v>1152</v>
      </c>
      <c r="E12" s="88">
        <v>1135</v>
      </c>
      <c r="F12" s="88">
        <v>1129</v>
      </c>
      <c r="G12" s="88">
        <v>1164</v>
      </c>
      <c r="H12" s="88">
        <v>1154</v>
      </c>
      <c r="I12" s="88">
        <v>1154</v>
      </c>
      <c r="J12" s="88">
        <v>1168</v>
      </c>
      <c r="K12" s="1">
        <f t="shared" si="0"/>
        <v>211</v>
      </c>
      <c r="L12">
        <v>1379</v>
      </c>
      <c r="M12">
        <v>1520</v>
      </c>
      <c r="N12">
        <v>1649</v>
      </c>
      <c r="O12">
        <v>1355</v>
      </c>
    </row>
    <row r="13" spans="1:18">
      <c r="A13" s="92"/>
      <c r="B13" s="91" t="s">
        <v>161</v>
      </c>
      <c r="D13">
        <v>1223</v>
      </c>
      <c r="E13">
        <v>1223</v>
      </c>
      <c r="F13">
        <v>1035</v>
      </c>
      <c r="G13">
        <v>1009</v>
      </c>
      <c r="H13">
        <v>954</v>
      </c>
      <c r="I13">
        <v>954</v>
      </c>
      <c r="J13">
        <v>908</v>
      </c>
      <c r="K13" s="1">
        <f t="shared" si="0"/>
        <v>272</v>
      </c>
      <c r="L13">
        <v>1180</v>
      </c>
    </row>
    <row r="14" spans="1:18">
      <c r="A14" s="92"/>
      <c r="B14" s="91" t="s">
        <v>166</v>
      </c>
      <c r="D14">
        <v>789</v>
      </c>
      <c r="E14">
        <v>769</v>
      </c>
      <c r="F14">
        <v>770</v>
      </c>
      <c r="G14">
        <v>764</v>
      </c>
      <c r="H14">
        <v>749</v>
      </c>
      <c r="I14">
        <v>749</v>
      </c>
      <c r="J14">
        <v>746</v>
      </c>
      <c r="K14" s="1">
        <f t="shared" si="0"/>
        <v>114</v>
      </c>
      <c r="L14">
        <v>860</v>
      </c>
      <c r="M14">
        <v>920</v>
      </c>
      <c r="N14">
        <v>895</v>
      </c>
    </row>
    <row r="15" spans="1:18">
      <c r="A15" s="92"/>
      <c r="B15" s="91" t="s">
        <v>177</v>
      </c>
      <c r="D15">
        <v>500</v>
      </c>
      <c r="E15">
        <v>590</v>
      </c>
      <c r="F15">
        <v>570</v>
      </c>
      <c r="G15">
        <v>569</v>
      </c>
      <c r="H15">
        <v>589</v>
      </c>
      <c r="I15">
        <v>589</v>
      </c>
      <c r="J15">
        <v>560</v>
      </c>
      <c r="K15" s="1">
        <f t="shared" si="0"/>
        <v>108</v>
      </c>
      <c r="L15">
        <v>668</v>
      </c>
      <c r="M15">
        <v>773</v>
      </c>
      <c r="N15">
        <v>719</v>
      </c>
    </row>
    <row r="16" spans="1:18">
      <c r="A16" s="93" t="s">
        <v>347</v>
      </c>
      <c r="B16" s="91" t="s">
        <v>127</v>
      </c>
      <c r="C16" s="4" t="s">
        <v>346</v>
      </c>
      <c r="D16">
        <v>3599</v>
      </c>
      <c r="E16">
        <v>3050</v>
      </c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</row>
    <row r="17" spans="1:15">
      <c r="A17" s="94"/>
      <c r="B17" t="s">
        <v>132</v>
      </c>
      <c r="C17" s="4" t="s">
        <v>346</v>
      </c>
      <c r="D17">
        <v>2895</v>
      </c>
      <c r="E17">
        <v>2855</v>
      </c>
      <c r="F17" s="89">
        <v>2599</v>
      </c>
      <c r="G17" s="89">
        <v>2765</v>
      </c>
      <c r="H17">
        <v>2829</v>
      </c>
      <c r="I17">
        <v>2829</v>
      </c>
      <c r="J17">
        <v>2799</v>
      </c>
      <c r="K17" s="5">
        <f t="shared" si="0"/>
        <v>-759</v>
      </c>
      <c r="L17" s="89">
        <v>2040</v>
      </c>
    </row>
    <row r="18" spans="1:15">
      <c r="A18" s="94"/>
      <c r="B18" t="s">
        <v>140</v>
      </c>
      <c r="C18" s="4" t="s">
        <v>346</v>
      </c>
      <c r="D18">
        <v>1966</v>
      </c>
      <c r="E18" s="88">
        <v>1898</v>
      </c>
      <c r="F18">
        <v>2139</v>
      </c>
      <c r="G18">
        <v>1990</v>
      </c>
      <c r="H18">
        <v>2199</v>
      </c>
      <c r="I18">
        <v>2199</v>
      </c>
      <c r="J18">
        <v>2020</v>
      </c>
      <c r="K18" s="5">
        <f t="shared" si="0"/>
        <v>-310</v>
      </c>
      <c r="L18" s="89">
        <v>1710</v>
      </c>
    </row>
    <row r="19" spans="1:15">
      <c r="A19" s="94"/>
      <c r="B19" s="91" t="s">
        <v>149</v>
      </c>
      <c r="C19" s="4" t="s">
        <v>346</v>
      </c>
      <c r="D19">
        <v>1207</v>
      </c>
      <c r="E19">
        <v>1228</v>
      </c>
      <c r="F19">
        <v>1199</v>
      </c>
      <c r="G19">
        <v>1199</v>
      </c>
      <c r="H19">
        <v>1164</v>
      </c>
      <c r="I19">
        <v>1164</v>
      </c>
      <c r="J19">
        <v>1170</v>
      </c>
      <c r="K19" s="1">
        <f t="shared" si="0"/>
        <v>110</v>
      </c>
      <c r="L19">
        <v>1280</v>
      </c>
      <c r="M19">
        <v>1368</v>
      </c>
      <c r="N19">
        <v>1589</v>
      </c>
    </row>
    <row r="20" spans="1:15">
      <c r="A20" s="94"/>
      <c r="B20" s="91" t="s">
        <v>162</v>
      </c>
      <c r="D20">
        <v>830</v>
      </c>
      <c r="E20">
        <v>803</v>
      </c>
      <c r="F20" s="88">
        <v>770</v>
      </c>
      <c r="G20" s="88">
        <v>714</v>
      </c>
      <c r="H20">
        <v>739</v>
      </c>
      <c r="I20">
        <v>739</v>
      </c>
      <c r="J20">
        <v>810</v>
      </c>
      <c r="K20" s="1">
        <f t="shared" si="0"/>
        <v>230</v>
      </c>
      <c r="L20">
        <v>1040</v>
      </c>
    </row>
    <row r="21" spans="1:15">
      <c r="A21" s="94"/>
      <c r="B21" s="91" t="s">
        <v>167</v>
      </c>
      <c r="D21" s="88">
        <v>712</v>
      </c>
      <c r="E21" s="88">
        <v>705</v>
      </c>
      <c r="F21" s="88">
        <v>729</v>
      </c>
      <c r="G21">
        <v>704</v>
      </c>
      <c r="H21" s="88">
        <v>665</v>
      </c>
      <c r="I21" s="88">
        <v>665</v>
      </c>
      <c r="J21" s="88">
        <v>695</v>
      </c>
      <c r="K21" s="1">
        <f t="shared" si="0"/>
        <v>188</v>
      </c>
      <c r="L21">
        <v>883</v>
      </c>
      <c r="M21">
        <v>949</v>
      </c>
      <c r="N21">
        <v>860</v>
      </c>
    </row>
    <row r="22" spans="1:15">
      <c r="A22" s="94"/>
      <c r="B22" s="91" t="s">
        <v>178</v>
      </c>
      <c r="D22">
        <v>475</v>
      </c>
      <c r="E22">
        <v>568</v>
      </c>
      <c r="F22">
        <v>603</v>
      </c>
      <c r="G22">
        <v>439</v>
      </c>
      <c r="H22" s="88">
        <v>312</v>
      </c>
      <c r="I22" s="88">
        <v>312</v>
      </c>
      <c r="J22" s="88">
        <v>319</v>
      </c>
      <c r="K22" s="1">
        <f t="shared" si="0"/>
        <v>334</v>
      </c>
      <c r="L22">
        <v>653</v>
      </c>
      <c r="M22">
        <v>720</v>
      </c>
      <c r="N22">
        <v>698</v>
      </c>
    </row>
    <row r="23" spans="1:15">
      <c r="A23" s="95" t="s">
        <v>348</v>
      </c>
      <c r="B23" s="91" t="s">
        <v>144</v>
      </c>
      <c r="D23">
        <v>2098</v>
      </c>
      <c r="E23">
        <v>2260</v>
      </c>
      <c r="F23">
        <v>2170</v>
      </c>
      <c r="G23">
        <v>2038</v>
      </c>
      <c r="H23">
        <v>1919</v>
      </c>
      <c r="I23">
        <v>1919</v>
      </c>
      <c r="J23">
        <v>1869</v>
      </c>
      <c r="K23" s="1">
        <f t="shared" si="0"/>
        <v>196</v>
      </c>
      <c r="L23">
        <v>2065</v>
      </c>
    </row>
    <row r="24" spans="1:15">
      <c r="A24" s="96"/>
      <c r="B24" s="91" t="s">
        <v>153</v>
      </c>
      <c r="D24">
        <v>1312</v>
      </c>
      <c r="E24">
        <v>1373</v>
      </c>
      <c r="F24">
        <v>1388</v>
      </c>
      <c r="G24">
        <v>1338</v>
      </c>
      <c r="H24">
        <v>1259</v>
      </c>
      <c r="I24">
        <v>1259</v>
      </c>
      <c r="J24">
        <v>1190</v>
      </c>
      <c r="K24" s="1">
        <f t="shared" si="0"/>
        <v>390</v>
      </c>
      <c r="L24">
        <v>1580</v>
      </c>
    </row>
    <row r="25" spans="1:15">
      <c r="A25" s="96"/>
      <c r="B25" s="91" t="s">
        <v>160</v>
      </c>
      <c r="D25">
        <v>904</v>
      </c>
      <c r="E25">
        <v>938</v>
      </c>
      <c r="F25">
        <v>938</v>
      </c>
      <c r="G25">
        <v>933</v>
      </c>
      <c r="H25">
        <v>934</v>
      </c>
      <c r="I25">
        <v>934</v>
      </c>
      <c r="J25">
        <v>964</v>
      </c>
      <c r="K25" s="1">
        <f t="shared" si="0"/>
        <v>31</v>
      </c>
      <c r="L25">
        <v>995</v>
      </c>
      <c r="M25">
        <v>1020</v>
      </c>
      <c r="N25">
        <v>965</v>
      </c>
    </row>
    <row r="26" spans="1:15">
      <c r="A26" s="96"/>
      <c r="B26" s="91" t="s">
        <v>173</v>
      </c>
      <c r="D26" s="88">
        <v>609</v>
      </c>
      <c r="E26" s="4">
        <v>639</v>
      </c>
      <c r="F26">
        <v>669</v>
      </c>
      <c r="G26">
        <v>663</v>
      </c>
      <c r="H26">
        <v>699</v>
      </c>
      <c r="I26">
        <v>699</v>
      </c>
      <c r="J26">
        <v>659</v>
      </c>
      <c r="K26" s="1">
        <f t="shared" si="0"/>
        <v>91</v>
      </c>
      <c r="L26">
        <v>750</v>
      </c>
    </row>
    <row r="27" spans="1:15">
      <c r="A27" s="96"/>
      <c r="B27" s="91" t="s">
        <v>176</v>
      </c>
      <c r="D27">
        <v>605</v>
      </c>
      <c r="E27">
        <v>636</v>
      </c>
      <c r="F27">
        <v>639</v>
      </c>
      <c r="G27">
        <v>622</v>
      </c>
      <c r="H27">
        <v>619</v>
      </c>
      <c r="I27">
        <v>619</v>
      </c>
      <c r="J27">
        <v>639</v>
      </c>
      <c r="K27" s="1">
        <f t="shared" si="0"/>
        <v>121</v>
      </c>
      <c r="L27">
        <v>760</v>
      </c>
      <c r="M27">
        <v>849</v>
      </c>
      <c r="N27">
        <v>799</v>
      </c>
    </row>
    <row r="28" spans="1:15">
      <c r="A28" s="96"/>
      <c r="B28" s="91" t="s">
        <v>179</v>
      </c>
      <c r="D28" s="88">
        <v>311</v>
      </c>
      <c r="E28" s="88">
        <v>315</v>
      </c>
      <c r="F28" s="88">
        <v>339</v>
      </c>
      <c r="G28" s="88">
        <v>310</v>
      </c>
      <c r="H28">
        <v>304</v>
      </c>
      <c r="I28">
        <v>304</v>
      </c>
      <c r="J28">
        <v>304</v>
      </c>
      <c r="K28" s="1">
        <f t="shared" si="0"/>
        <v>288</v>
      </c>
      <c r="L28">
        <v>592</v>
      </c>
      <c r="M28">
        <v>695</v>
      </c>
      <c r="N28">
        <v>684</v>
      </c>
    </row>
    <row r="29" customHeight="1" spans="1:15">
      <c r="A29" s="97" t="s">
        <v>349</v>
      </c>
      <c r="B29" s="16" t="s">
        <v>119</v>
      </c>
      <c r="D29" s="4"/>
      <c r="E29" s="4"/>
      <c r="F29" s="4"/>
      <c r="G29" s="4"/>
      <c r="H29" s="4"/>
      <c r="I29" s="4"/>
      <c r="J29" s="4"/>
      <c r="L29">
        <v>5526</v>
      </c>
      <c r="M29">
        <v>5767</v>
      </c>
      <c r="N29">
        <v>5369</v>
      </c>
      <c r="O29">
        <v>5998</v>
      </c>
    </row>
    <row r="30" customHeight="1" spans="1:15">
      <c r="A30" s="97"/>
      <c r="B30" t="s">
        <v>121</v>
      </c>
      <c r="D30" s="4"/>
      <c r="E30" s="4"/>
      <c r="F30" s="98">
        <v>5499</v>
      </c>
      <c r="G30" s="98">
        <v>4789</v>
      </c>
      <c r="H30" s="98">
        <v>4649</v>
      </c>
      <c r="I30" s="98">
        <v>4649</v>
      </c>
      <c r="J30" s="98">
        <v>4679</v>
      </c>
      <c r="K30" s="5">
        <f t="shared" si="0"/>
        <v>-880</v>
      </c>
      <c r="L30" s="98">
        <v>3799</v>
      </c>
      <c r="M30" s="99">
        <v>3888</v>
      </c>
      <c r="N30">
        <v>4127</v>
      </c>
      <c r="O30" s="100">
        <v>3889</v>
      </c>
    </row>
    <row r="31" spans="1:15">
      <c r="A31" s="97"/>
      <c r="B31" t="s">
        <v>124</v>
      </c>
      <c r="D31" s="98">
        <v>3888</v>
      </c>
      <c r="E31" s="98">
        <v>3899</v>
      </c>
      <c r="F31" s="98">
        <v>3798</v>
      </c>
      <c r="G31" s="98">
        <v>3765</v>
      </c>
      <c r="H31" s="98">
        <v>3629</v>
      </c>
      <c r="I31" s="98">
        <v>3629</v>
      </c>
      <c r="J31" s="98">
        <v>3529</v>
      </c>
      <c r="K31" s="5">
        <f t="shared" si="0"/>
        <v>-727</v>
      </c>
      <c r="L31" s="98">
        <v>2802</v>
      </c>
      <c r="M31" s="98">
        <v>2766</v>
      </c>
      <c r="N31" s="100">
        <v>2826</v>
      </c>
      <c r="O31" s="98">
        <v>2778</v>
      </c>
    </row>
    <row r="32" spans="1:15">
      <c r="A32" s="97"/>
      <c r="B32" t="s">
        <v>134</v>
      </c>
      <c r="D32" s="4"/>
      <c r="E32" s="4"/>
      <c r="F32">
        <v>4499</v>
      </c>
      <c r="G32">
        <v>3899</v>
      </c>
      <c r="H32">
        <v>3349</v>
      </c>
      <c r="I32">
        <v>3349</v>
      </c>
      <c r="J32">
        <v>3849</v>
      </c>
      <c r="K32" s="5">
        <f t="shared" si="0"/>
        <v>-569</v>
      </c>
      <c r="L32" s="100">
        <v>3280</v>
      </c>
      <c r="O32">
        <v>3549</v>
      </c>
    </row>
    <row r="33" spans="1:18">
      <c r="A33" s="97"/>
      <c r="B33" t="s">
        <v>135</v>
      </c>
      <c r="D33" s="98">
        <v>2688</v>
      </c>
      <c r="E33" s="98">
        <v>2710</v>
      </c>
      <c r="F33">
        <v>2699</v>
      </c>
      <c r="G33">
        <v>2679</v>
      </c>
      <c r="H33">
        <v>2569</v>
      </c>
      <c r="I33">
        <v>2569</v>
      </c>
      <c r="J33">
        <v>2529</v>
      </c>
      <c r="K33" s="5">
        <f t="shared" si="0"/>
        <v>-480</v>
      </c>
      <c r="L33" s="100">
        <v>2049</v>
      </c>
      <c r="O33" s="100">
        <v>2179</v>
      </c>
    </row>
    <row r="34" spans="1:18">
      <c r="A34" s="97"/>
      <c r="B34" s="16" t="s">
        <v>143</v>
      </c>
      <c r="D34" s="4"/>
      <c r="E34" s="4"/>
      <c r="F34" s="4"/>
      <c r="G34" s="4"/>
      <c r="H34" s="4"/>
      <c r="I34" s="4"/>
      <c r="J34" s="4"/>
      <c r="L34" s="100">
        <v>2999</v>
      </c>
      <c r="M34" s="100">
        <v>2848</v>
      </c>
      <c r="N34" s="98">
        <v>2709</v>
      </c>
      <c r="O34" s="98">
        <v>2646</v>
      </c>
    </row>
    <row r="35" spans="1:18">
      <c r="A35" s="97"/>
      <c r="B35" t="s">
        <v>146</v>
      </c>
      <c r="D35">
        <v>4398</v>
      </c>
      <c r="E35" s="98">
        <v>4098</v>
      </c>
      <c r="F35" s="98">
        <v>3689</v>
      </c>
      <c r="G35" s="98">
        <v>3599</v>
      </c>
      <c r="H35" s="98">
        <v>3309</v>
      </c>
      <c r="I35" s="98">
        <v>3309</v>
      </c>
      <c r="J35" s="98">
        <v>3139</v>
      </c>
      <c r="K35" s="5">
        <f>L35-J35</f>
        <v>-550</v>
      </c>
      <c r="L35" s="98">
        <v>2589</v>
      </c>
      <c r="M35" s="98">
        <v>2509</v>
      </c>
      <c r="N35" s="98">
        <v>2449</v>
      </c>
      <c r="O35" s="98">
        <v>2389</v>
      </c>
    </row>
    <row r="36" spans="1:18">
      <c r="A36" s="97"/>
      <c r="B36" t="s">
        <v>150</v>
      </c>
      <c r="D36" s="98">
        <v>1789</v>
      </c>
      <c r="E36" s="98">
        <v>1889</v>
      </c>
      <c r="F36" s="98">
        <v>1788</v>
      </c>
      <c r="G36" s="98">
        <v>1789</v>
      </c>
      <c r="H36" s="98">
        <v>1839</v>
      </c>
      <c r="I36" s="98">
        <v>1839</v>
      </c>
      <c r="J36" s="98">
        <v>1719</v>
      </c>
      <c r="K36" s="5">
        <f>L36-J36</f>
        <v>-350</v>
      </c>
      <c r="L36" s="98">
        <v>1369</v>
      </c>
      <c r="M36" s="98">
        <v>1358</v>
      </c>
      <c r="N36" s="98">
        <v>1379</v>
      </c>
      <c r="O36" s="98">
        <v>1338</v>
      </c>
    </row>
    <row r="37" spans="1:18">
      <c r="A37" s="97"/>
      <c r="B37" t="s">
        <v>156</v>
      </c>
      <c r="D37" s="98">
        <v>1258</v>
      </c>
      <c r="E37" s="98">
        <v>1309</v>
      </c>
      <c r="F37" s="98">
        <v>1249</v>
      </c>
      <c r="G37" s="98">
        <v>1133</v>
      </c>
      <c r="H37" s="98">
        <v>1299</v>
      </c>
      <c r="I37" s="98">
        <v>1299</v>
      </c>
      <c r="J37" s="98">
        <v>1280</v>
      </c>
      <c r="K37" s="5">
        <f>L37-J37</f>
        <v>-254</v>
      </c>
      <c r="L37" s="98">
        <v>1026</v>
      </c>
      <c r="M37" s="98">
        <v>1017</v>
      </c>
      <c r="N37" s="98">
        <v>1045</v>
      </c>
      <c r="O37" s="98">
        <v>998</v>
      </c>
    </row>
    <row r="38" spans="1:18">
      <c r="A38" s="97"/>
      <c r="B38" s="16" t="s">
        <v>159</v>
      </c>
      <c r="D38" s="4"/>
      <c r="E38" s="4"/>
      <c r="F38" s="4"/>
      <c r="G38" s="4"/>
      <c r="H38" s="4"/>
      <c r="I38" s="4"/>
      <c r="J38" s="4"/>
      <c r="K38" s="4"/>
      <c r="L38" s="98">
        <v>909</v>
      </c>
      <c r="M38" s="98">
        <v>877</v>
      </c>
      <c r="N38" s="98">
        <v>839</v>
      </c>
      <c r="O38" s="98">
        <v>826</v>
      </c>
    </row>
    <row r="39" spans="1:18">
      <c r="A39" s="101" t="s">
        <v>350</v>
      </c>
      <c r="B39" t="s">
        <v>125</v>
      </c>
      <c r="D39" s="98">
        <v>3779</v>
      </c>
      <c r="E39">
        <v>3880</v>
      </c>
      <c r="F39">
        <v>3999</v>
      </c>
      <c r="G39">
        <v>3779</v>
      </c>
      <c r="H39">
        <v>3799</v>
      </c>
      <c r="I39">
        <v>3799</v>
      </c>
      <c r="J39">
        <v>3799</v>
      </c>
      <c r="K39" s="1">
        <f>L39-J39</f>
        <v>554</v>
      </c>
      <c r="L39">
        <v>4353</v>
      </c>
    </row>
    <row r="40" spans="1:18">
      <c r="A40" s="101"/>
      <c r="B40" t="s">
        <v>126</v>
      </c>
      <c r="D40" s="98">
        <v>2919</v>
      </c>
      <c r="E40" s="98">
        <v>3098</v>
      </c>
      <c r="F40">
        <v>3299</v>
      </c>
      <c r="G40" s="98">
        <v>2899</v>
      </c>
      <c r="H40" s="100">
        <v>2899</v>
      </c>
      <c r="I40" s="100">
        <v>2899</v>
      </c>
      <c r="J40">
        <v>2899</v>
      </c>
      <c r="K40" s="1">
        <f>L40-J40</f>
        <v>800</v>
      </c>
      <c r="L40">
        <v>3699</v>
      </c>
    </row>
    <row r="41" spans="1:18">
      <c r="A41" s="101"/>
      <c r="B41" t="s">
        <v>139</v>
      </c>
      <c r="D41" s="4">
        <v>2849</v>
      </c>
      <c r="E41">
        <v>2949</v>
      </c>
      <c r="F41">
        <v>2649</v>
      </c>
      <c r="G41">
        <v>2649</v>
      </c>
      <c r="H41">
        <v>2649</v>
      </c>
      <c r="I41">
        <v>2649</v>
      </c>
      <c r="J41">
        <v>2649</v>
      </c>
      <c r="K41" s="4"/>
    </row>
    <row r="42" spans="1:18">
      <c r="A42" s="101"/>
      <c r="B42" t="s">
        <v>138</v>
      </c>
      <c r="D42" s="98">
        <v>2229</v>
      </c>
      <c r="E42">
        <v>2298</v>
      </c>
      <c r="F42">
        <v>2339</v>
      </c>
      <c r="G42">
        <v>2269</v>
      </c>
      <c r="H42">
        <v>2269</v>
      </c>
      <c r="I42">
        <v>2269</v>
      </c>
      <c r="J42">
        <v>2290</v>
      </c>
      <c r="K42" s="5">
        <f>L42-J42</f>
        <v>-12</v>
      </c>
      <c r="L42">
        <v>2278</v>
      </c>
    </row>
    <row r="43" spans="1:18">
      <c r="A43" s="101"/>
      <c r="B43" t="s">
        <v>152</v>
      </c>
      <c r="D43">
        <v>3199</v>
      </c>
      <c r="E43" s="100">
        <v>2799</v>
      </c>
      <c r="F43" s="98">
        <v>2428</v>
      </c>
      <c r="G43" s="98">
        <v>2378</v>
      </c>
      <c r="H43" s="98">
        <v>2289</v>
      </c>
      <c r="I43" s="98">
        <v>2289</v>
      </c>
      <c r="J43" s="98">
        <v>2220</v>
      </c>
      <c r="K43" s="5">
        <f>L43-J43</f>
        <v>-561</v>
      </c>
      <c r="L43" s="98">
        <v>1659</v>
      </c>
      <c r="M43" s="100">
        <v>1797</v>
      </c>
      <c r="N43" s="100">
        <v>1737</v>
      </c>
      <c r="O43" s="98">
        <v>1609</v>
      </c>
    </row>
    <row r="44" spans="1:18">
      <c r="A44" s="101"/>
      <c r="B44" t="s">
        <v>151</v>
      </c>
      <c r="D44">
        <v>1369</v>
      </c>
      <c r="E44">
        <v>1249</v>
      </c>
      <c r="F44">
        <v>1228</v>
      </c>
      <c r="G44">
        <v>1170</v>
      </c>
      <c r="H44" s="100">
        <v>1189</v>
      </c>
      <c r="I44" s="100">
        <v>1189</v>
      </c>
      <c r="J44" s="100">
        <v>1239</v>
      </c>
      <c r="K44" s="5">
        <f>L44-J44</f>
        <v>-520</v>
      </c>
      <c r="L44" s="98">
        <v>719</v>
      </c>
    </row>
    <row r="45" spans="1:18">
      <c r="A45" s="101"/>
      <c r="B45" t="s">
        <v>158</v>
      </c>
      <c r="D45">
        <v>1199</v>
      </c>
      <c r="E45">
        <v>1249</v>
      </c>
      <c r="F45">
        <v>1209</v>
      </c>
      <c r="G45">
        <v>1189</v>
      </c>
      <c r="H45">
        <v>1139</v>
      </c>
      <c r="I45">
        <v>1139</v>
      </c>
      <c r="J45">
        <v>1139</v>
      </c>
      <c r="K45" s="4"/>
    </row>
    <row r="46" spans="1:18">
      <c r="A46" s="101"/>
      <c r="B46" t="s">
        <v>164</v>
      </c>
      <c r="D46" s="98">
        <v>903</v>
      </c>
      <c r="E46" s="98">
        <v>955</v>
      </c>
      <c r="F46" s="98">
        <v>895</v>
      </c>
      <c r="G46" s="98">
        <v>883</v>
      </c>
      <c r="H46" s="98">
        <v>890</v>
      </c>
      <c r="I46" s="98">
        <v>890</v>
      </c>
      <c r="J46" s="98">
        <v>849</v>
      </c>
      <c r="K46" s="5">
        <f>L46-J46</f>
        <v>-227</v>
      </c>
      <c r="L46" s="100">
        <v>622</v>
      </c>
      <c r="M46" s="100">
        <v>629</v>
      </c>
      <c r="N46" s="100">
        <v>634</v>
      </c>
      <c r="O46" s="100">
        <v>600</v>
      </c>
    </row>
    <row r="47" spans="1:18">
      <c r="A47" s="101"/>
      <c r="B47" t="s">
        <v>168</v>
      </c>
      <c r="E47" s="98">
        <v>819</v>
      </c>
      <c r="F47" s="98">
        <v>706</v>
      </c>
      <c r="G47" s="98">
        <v>811</v>
      </c>
      <c r="H47" s="98">
        <v>790</v>
      </c>
      <c r="I47" s="98">
        <v>790</v>
      </c>
      <c r="J47" s="98">
        <v>765</v>
      </c>
    </row>
    <row r="48" spans="1:18">
      <c r="A48" s="102" t="s">
        <v>351</v>
      </c>
      <c r="B48" s="91" t="s">
        <v>141</v>
      </c>
      <c r="D48">
        <v>2299</v>
      </c>
      <c r="L48" s="4"/>
      <c r="M48" s="4"/>
      <c r="N48" s="4"/>
      <c r="O48" s="4"/>
      <c r="P48" s="4"/>
      <c r="Q48" s="4"/>
      <c r="R48" s="4"/>
    </row>
    <row r="49" spans="1:18">
      <c r="A49" s="103"/>
      <c r="B49" s="91" t="s">
        <v>147</v>
      </c>
      <c r="D49">
        <v>1699</v>
      </c>
      <c r="L49" s="4"/>
      <c r="M49" s="4"/>
      <c r="N49" s="4"/>
      <c r="O49" s="4"/>
      <c r="P49" s="4"/>
      <c r="Q49" s="4"/>
      <c r="R49" s="4"/>
    </row>
    <row r="50" spans="1:18">
      <c r="A50" s="103"/>
      <c r="B50" s="91" t="s">
        <v>165</v>
      </c>
      <c r="D50" s="100">
        <v>1097</v>
      </c>
      <c r="E50" s="100">
        <v>1369</v>
      </c>
      <c r="F50" s="100">
        <v>1449</v>
      </c>
      <c r="G50">
        <v>1549</v>
      </c>
      <c r="H50">
        <v>1469</v>
      </c>
      <c r="I50">
        <v>1469</v>
      </c>
      <c r="J50">
        <v>1469</v>
      </c>
    </row>
    <row r="51" spans="1:18">
      <c r="A51" s="103"/>
      <c r="B51" s="91" t="s">
        <v>163</v>
      </c>
      <c r="D51" s="100">
        <v>699</v>
      </c>
      <c r="E51" s="100">
        <v>735</v>
      </c>
      <c r="F51" s="100">
        <v>718</v>
      </c>
      <c r="G51" s="100">
        <v>723</v>
      </c>
      <c r="H51" s="100">
        <v>723</v>
      </c>
      <c r="I51" s="100">
        <v>723</v>
      </c>
      <c r="J51" s="100">
        <v>695</v>
      </c>
      <c r="K51" s="1">
        <f>L51-J51</f>
        <v>555</v>
      </c>
      <c r="L51">
        <v>1250</v>
      </c>
    </row>
    <row r="52" spans="1:18">
      <c r="A52" s="103"/>
      <c r="B52" s="91" t="s">
        <v>170</v>
      </c>
      <c r="C52" s="4" t="s">
        <v>171</v>
      </c>
      <c r="D52" s="4"/>
      <c r="E52" s="4"/>
      <c r="F52" s="4"/>
      <c r="G52" s="4"/>
      <c r="H52" s="98">
        <v>580</v>
      </c>
      <c r="I52" s="98">
        <v>580</v>
      </c>
      <c r="J52" s="98">
        <v>579</v>
      </c>
      <c r="K52" s="1">
        <f>L52-J52</f>
        <v>270</v>
      </c>
      <c r="L52">
        <v>849</v>
      </c>
    </row>
    <row r="53" spans="1:18">
      <c r="A53" s="103"/>
      <c r="B53" s="91" t="s">
        <v>172</v>
      </c>
      <c r="D53" s="98">
        <v>539</v>
      </c>
      <c r="E53" s="98">
        <v>548</v>
      </c>
      <c r="F53" s="98">
        <v>528</v>
      </c>
      <c r="G53" s="98">
        <v>539</v>
      </c>
      <c r="H53">
        <v>560</v>
      </c>
      <c r="I53">
        <v>560</v>
      </c>
      <c r="J53" s="100">
        <v>548</v>
      </c>
      <c r="K53" s="1">
        <f>L53-J53</f>
        <v>202</v>
      </c>
      <c r="L53">
        <v>750</v>
      </c>
      <c r="M53">
        <v>704</v>
      </c>
      <c r="N53">
        <v>679</v>
      </c>
    </row>
    <row r="54" spans="1:18">
      <c r="A54" s="103"/>
      <c r="B54" s="91" t="s">
        <v>174</v>
      </c>
      <c r="C54" s="4" t="s">
        <v>171</v>
      </c>
      <c r="D54" s="4"/>
      <c r="E54" s="4"/>
      <c r="F54" s="4"/>
      <c r="G54" s="4"/>
      <c r="L54">
        <v>1058</v>
      </c>
      <c r="M54">
        <v>1064</v>
      </c>
      <c r="N54">
        <v>1099</v>
      </c>
    </row>
    <row r="55" spans="1:18">
      <c r="A55" s="103"/>
      <c r="B55" s="91" t="s">
        <v>175</v>
      </c>
      <c r="D55">
        <v>400</v>
      </c>
      <c r="E55">
        <v>424</v>
      </c>
      <c r="F55">
        <v>480</v>
      </c>
      <c r="G55">
        <v>409</v>
      </c>
      <c r="H55" s="100">
        <v>399</v>
      </c>
      <c r="I55" s="100">
        <v>399</v>
      </c>
      <c r="J55">
        <v>386</v>
      </c>
      <c r="K55" s="1">
        <f>L55-J55</f>
        <v>99</v>
      </c>
      <c r="L55">
        <v>485</v>
      </c>
    </row>
    <row r="58" spans="1:18">
      <c r="A58" s="104" t="s">
        <v>352</v>
      </c>
      <c r="B58" s="104"/>
      <c r="C58" s="104"/>
      <c r="D58" s="104"/>
      <c r="F58" s="105" t="s">
        <v>353</v>
      </c>
      <c r="G58" s="105"/>
      <c r="H58" s="105"/>
      <c r="I58" s="105"/>
      <c r="J58" s="105"/>
      <c r="K58" s="105"/>
    </row>
    <row r="59" spans="1:18">
      <c r="A59" s="105"/>
      <c r="B59" s="105"/>
      <c r="C59" s="4" t="s">
        <v>354</v>
      </c>
      <c r="D59" t="s">
        <v>355</v>
      </c>
      <c r="F59" s="105"/>
      <c r="G59" s="105"/>
      <c r="H59" s="105"/>
      <c r="I59" s="105"/>
      <c r="J59" s="105"/>
      <c r="K59" s="105"/>
    </row>
    <row r="60" spans="1:18">
      <c r="A60" s="105" t="s">
        <v>356</v>
      </c>
      <c r="B60" s="105" t="s">
        <v>357</v>
      </c>
      <c r="C60" s="4">
        <v>24</v>
      </c>
      <c r="D60">
        <v>24</v>
      </c>
    </row>
    <row r="61" spans="1:18">
      <c r="A61" s="105"/>
      <c r="B61" s="105" t="s">
        <v>358</v>
      </c>
      <c r="C61" s="4">
        <v>20</v>
      </c>
      <c r="D61">
        <v>20</v>
      </c>
    </row>
    <row r="62" spans="1:18">
      <c r="A62" s="105"/>
      <c r="B62" s="105" t="s">
        <v>359</v>
      </c>
      <c r="C62" s="4">
        <v>14</v>
      </c>
      <c r="D62">
        <v>14</v>
      </c>
    </row>
    <row r="63" spans="1:18">
      <c r="A63" s="105" t="s">
        <v>360</v>
      </c>
      <c r="B63" s="105" t="s">
        <v>361</v>
      </c>
      <c r="C63" s="4">
        <v>24</v>
      </c>
      <c r="D63">
        <v>32</v>
      </c>
    </row>
    <row r="64" spans="1:18">
      <c r="A64" s="105"/>
      <c r="B64" s="105" t="s">
        <v>362</v>
      </c>
      <c r="C64" s="4">
        <v>20</v>
      </c>
      <c r="D64">
        <v>28</v>
      </c>
    </row>
    <row r="65" spans="1:4">
      <c r="A65" s="105"/>
      <c r="B65" s="105" t="s">
        <v>363</v>
      </c>
      <c r="C65" s="4">
        <v>14</v>
      </c>
      <c r="D65">
        <v>20</v>
      </c>
    </row>
    <row r="66" spans="1:4">
      <c r="A66" s="105"/>
      <c r="B66" s="105" t="s">
        <v>364</v>
      </c>
      <c r="C66" s="4">
        <v>6</v>
      </c>
      <c r="D66">
        <v>12</v>
      </c>
    </row>
    <row r="67" spans="1:4">
      <c r="A67" s="105"/>
      <c r="B67" s="105" t="s">
        <v>365</v>
      </c>
      <c r="C67" s="4">
        <v>10</v>
      </c>
      <c r="D67">
        <v>16</v>
      </c>
    </row>
    <row r="68" spans="1:4">
      <c r="A68" s="105"/>
      <c r="B68" s="105" t="s">
        <v>366</v>
      </c>
      <c r="C68" s="4">
        <v>4</v>
      </c>
      <c r="D68">
        <v>8</v>
      </c>
    </row>
    <row r="69" spans="1:4">
      <c r="A69" s="105" t="s">
        <v>367</v>
      </c>
      <c r="B69" s="105" t="s">
        <v>368</v>
      </c>
      <c r="C69" s="4">
        <v>16</v>
      </c>
      <c r="D69">
        <v>32</v>
      </c>
    </row>
    <row r="70" spans="1:4">
      <c r="A70" s="105"/>
      <c r="B70" s="105" t="s">
        <v>361</v>
      </c>
      <c r="C70" s="4">
        <v>12</v>
      </c>
      <c r="D70">
        <v>24</v>
      </c>
    </row>
    <row r="71" spans="1:4">
      <c r="A71" s="105"/>
      <c r="B71" s="105" t="s">
        <v>369</v>
      </c>
      <c r="C71" s="4">
        <v>8</v>
      </c>
      <c r="D71">
        <v>16</v>
      </c>
    </row>
    <row r="72" spans="1:4">
      <c r="A72" s="105"/>
      <c r="B72" s="105" t="s">
        <v>362</v>
      </c>
      <c r="C72" s="4">
        <v>8</v>
      </c>
      <c r="D72">
        <v>16</v>
      </c>
    </row>
    <row r="73" spans="1:4">
      <c r="A73" s="105"/>
      <c r="B73" s="105" t="s">
        <v>363</v>
      </c>
      <c r="C73" s="4">
        <v>6</v>
      </c>
      <c r="D73">
        <v>12</v>
      </c>
    </row>
    <row r="74" spans="1:4">
      <c r="A74" s="105"/>
      <c r="B74" s="105" t="s">
        <v>370</v>
      </c>
      <c r="C74" s="4">
        <v>6</v>
      </c>
      <c r="D74">
        <v>12</v>
      </c>
    </row>
  </sheetData>
  <mergeCells count="12">
    <mergeCell ref="A58:D58"/>
    <mergeCell ref="A2:A8"/>
    <mergeCell ref="A9:A15"/>
    <mergeCell ref="A16:A22"/>
    <mergeCell ref="A23:A28"/>
    <mergeCell ref="A29:A38"/>
    <mergeCell ref="A39:A47"/>
    <mergeCell ref="A48:A55"/>
    <mergeCell ref="A60:A62"/>
    <mergeCell ref="A63:A68"/>
    <mergeCell ref="A69:A74"/>
    <mergeCell ref="F58:K5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371</v>
      </c>
      <c r="B2" s="21" t="s">
        <v>372</v>
      </c>
      <c r="C2" s="21" t="s">
        <v>373</v>
      </c>
      <c r="D2" s="22" t="s">
        <v>374</v>
      </c>
      <c r="E2" s="23" t="s">
        <v>375</v>
      </c>
      <c r="F2" s="24" t="s">
        <v>157</v>
      </c>
      <c r="G2" s="25" t="s">
        <v>133</v>
      </c>
      <c r="H2" s="26" t="s">
        <v>376</v>
      </c>
      <c r="I2" s="27" t="s">
        <v>377</v>
      </c>
    </row>
    <row r="3" ht="33" customHeight="1" spans="1:9">
      <c r="B3" s="28" t="s">
        <v>378</v>
      </c>
      <c r="C3" s="29" t="s">
        <v>379</v>
      </c>
      <c r="D3" s="30" t="s">
        <v>380</v>
      </c>
      <c r="E3" s="30" t="s">
        <v>381</v>
      </c>
      <c r="F3" s="30" t="s">
        <v>382</v>
      </c>
      <c r="G3" s="30" t="s">
        <v>383</v>
      </c>
      <c r="H3" s="30" t="s">
        <v>384</v>
      </c>
      <c r="I3" s="30" t="s">
        <v>385</v>
      </c>
    </row>
    <row r="4" ht="27" customHeight="1" spans="1:9">
      <c r="B4" s="31"/>
      <c r="C4" s="29" t="s">
        <v>386</v>
      </c>
      <c r="D4" s="30" t="s">
        <v>387</v>
      </c>
      <c r="E4" s="30" t="s">
        <v>388</v>
      </c>
      <c r="F4" s="30" t="s">
        <v>389</v>
      </c>
      <c r="G4" s="30" t="s">
        <v>390</v>
      </c>
      <c r="H4" s="30" t="s">
        <v>391</v>
      </c>
      <c r="I4" s="30" t="s">
        <v>392</v>
      </c>
    </row>
    <row r="5" spans="1:9">
      <c r="B5" s="31"/>
      <c r="C5" s="32" t="s">
        <v>393</v>
      </c>
      <c r="D5" s="33"/>
      <c r="E5" s="30" t="s">
        <v>394</v>
      </c>
      <c r="F5" s="30" t="s">
        <v>395</v>
      </c>
      <c r="G5" s="30" t="s">
        <v>396</v>
      </c>
      <c r="H5" s="33"/>
      <c r="I5" s="30" t="s">
        <v>397</v>
      </c>
    </row>
    <row r="6" ht="19.2" spans="1:9">
      <c r="B6" s="31"/>
      <c r="C6" s="34" t="s">
        <v>398</v>
      </c>
      <c r="D6" s="30" t="s">
        <v>399</v>
      </c>
      <c r="E6" s="30" t="s">
        <v>325</v>
      </c>
      <c r="F6" s="30" t="s">
        <v>400</v>
      </c>
      <c r="G6" s="30" t="s">
        <v>401</v>
      </c>
      <c r="H6" s="30" t="s">
        <v>402</v>
      </c>
      <c r="I6" s="30" t="s">
        <v>403</v>
      </c>
    </row>
    <row r="7" ht="19.2" spans="1:9">
      <c r="B7" s="35" t="s">
        <v>404</v>
      </c>
      <c r="C7" s="36" t="s">
        <v>405</v>
      </c>
      <c r="D7" s="30" t="s">
        <v>406</v>
      </c>
      <c r="E7" s="30" t="s">
        <v>407</v>
      </c>
      <c r="F7" s="30" t="s">
        <v>408</v>
      </c>
      <c r="G7" s="30" t="s">
        <v>409</v>
      </c>
      <c r="H7" s="30" t="s">
        <v>410</v>
      </c>
      <c r="I7" s="30" t="s">
        <v>411</v>
      </c>
    </row>
    <row r="8" spans="1:9">
      <c r="B8" s="37"/>
      <c r="C8" s="38" t="s">
        <v>412</v>
      </c>
      <c r="D8" s="30" t="s">
        <v>413</v>
      </c>
      <c r="E8" s="30" t="s">
        <v>414</v>
      </c>
      <c r="F8" s="30" t="s">
        <v>415</v>
      </c>
      <c r="G8" s="33"/>
      <c r="H8" s="33"/>
      <c r="I8" s="33"/>
    </row>
    <row r="9" ht="21" customHeight="1" spans="1:9">
      <c r="B9" s="39" t="s">
        <v>416</v>
      </c>
      <c r="C9" s="40" t="s">
        <v>417</v>
      </c>
      <c r="D9" s="30" t="s">
        <v>418</v>
      </c>
      <c r="E9" s="30" t="s">
        <v>419</v>
      </c>
      <c r="F9" s="30" t="s">
        <v>420</v>
      </c>
      <c r="G9" s="30" t="s">
        <v>421</v>
      </c>
      <c r="H9" s="30" t="s">
        <v>422</v>
      </c>
      <c r="I9" s="33"/>
    </row>
    <row r="10" ht="19.2" spans="1:9">
      <c r="B10" s="41"/>
      <c r="C10" s="40" t="s">
        <v>423</v>
      </c>
      <c r="D10" s="30" t="s">
        <v>424</v>
      </c>
      <c r="E10" s="30" t="s">
        <v>425</v>
      </c>
      <c r="F10" s="30" t="s">
        <v>426</v>
      </c>
      <c r="G10" s="30" t="s">
        <v>427</v>
      </c>
      <c r="H10" s="30" t="s">
        <v>428</v>
      </c>
      <c r="I10" s="33"/>
    </row>
    <row r="11" spans="1:9">
      <c r="B11" s="41"/>
      <c r="C11" s="42" t="s">
        <v>429</v>
      </c>
      <c r="D11" s="30" t="s">
        <v>430</v>
      </c>
      <c r="E11" s="30" t="s">
        <v>431</v>
      </c>
      <c r="F11" s="30" t="s">
        <v>432</v>
      </c>
      <c r="G11" s="30" t="s">
        <v>433</v>
      </c>
      <c r="H11" s="30" t="s">
        <v>434</v>
      </c>
      <c r="I11" s="33"/>
    </row>
    <row r="12" spans="1:9">
      <c r="B12" s="41"/>
      <c r="C12" s="43" t="s">
        <v>435</v>
      </c>
      <c r="D12" s="30" t="s">
        <v>436</v>
      </c>
      <c r="E12" s="30" t="s">
        <v>437</v>
      </c>
      <c r="F12" s="30" t="s">
        <v>438</v>
      </c>
      <c r="G12" s="44" t="s">
        <v>439</v>
      </c>
      <c r="H12" s="44" t="s">
        <v>440</v>
      </c>
      <c r="I12" s="33"/>
    </row>
    <row r="13" ht="19.2" spans="1:9">
      <c r="B13" s="41"/>
      <c r="C13" s="45" t="s">
        <v>441</v>
      </c>
      <c r="D13" s="30" t="s">
        <v>442</v>
      </c>
      <c r="E13" s="30" t="s">
        <v>443</v>
      </c>
      <c r="F13" s="30" t="s">
        <v>444</v>
      </c>
      <c r="G13" s="33"/>
      <c r="H13" s="33"/>
      <c r="I13" s="33"/>
    </row>
    <row r="14" ht="28.8" spans="1:9">
      <c r="B14" s="41"/>
      <c r="C14" s="46" t="s">
        <v>445</v>
      </c>
      <c r="D14" s="30" t="s">
        <v>446</v>
      </c>
      <c r="E14" s="30" t="s">
        <v>447</v>
      </c>
      <c r="F14" s="30" t="s">
        <v>448</v>
      </c>
      <c r="G14" s="30" t="s">
        <v>449</v>
      </c>
      <c r="H14" s="33"/>
      <c r="I14" s="33"/>
    </row>
    <row r="15" ht="24" customHeight="1" spans="1:9">
      <c r="B15" s="47" t="s">
        <v>450</v>
      </c>
      <c r="C15" s="48" t="s">
        <v>451</v>
      </c>
      <c r="D15" s="30" t="s">
        <v>452</v>
      </c>
      <c r="E15" s="30" t="s">
        <v>453</v>
      </c>
      <c r="F15" s="30" t="s">
        <v>454</v>
      </c>
      <c r="G15" s="44" t="s">
        <v>455</v>
      </c>
      <c r="H15" s="33"/>
      <c r="I15" s="33"/>
    </row>
    <row r="16" ht="19.2" spans="1:9">
      <c r="B16" s="49"/>
      <c r="C16" s="50" t="s">
        <v>456</v>
      </c>
      <c r="D16" s="30" t="s">
        <v>457</v>
      </c>
      <c r="E16" s="30" t="s">
        <v>458</v>
      </c>
      <c r="F16" s="33"/>
      <c r="G16" s="33"/>
      <c r="H16" s="33"/>
      <c r="I16" s="33"/>
    </row>
    <row r="17" spans="1:9">
      <c r="B17" s="49"/>
      <c r="C17" s="51" t="s">
        <v>459</v>
      </c>
      <c r="D17" s="30" t="s">
        <v>460</v>
      </c>
      <c r="E17" s="30" t="s">
        <v>461</v>
      </c>
      <c r="F17" s="33"/>
      <c r="G17" s="33"/>
      <c r="H17" s="33"/>
      <c r="I17" s="33"/>
    </row>
    <row r="18" spans="1:9">
      <c r="B18" s="49"/>
      <c r="C18" s="52" t="s">
        <v>462</v>
      </c>
      <c r="D18" s="33"/>
      <c r="E18" s="30" t="s">
        <v>463</v>
      </c>
      <c r="F18" s="30" t="s">
        <v>464</v>
      </c>
      <c r="G18" s="33"/>
      <c r="H18" s="33"/>
      <c r="I18" s="33"/>
    </row>
    <row r="20" spans="1:9">
      <c r="A20" t="s">
        <v>465</v>
      </c>
      <c r="B20" s="53" t="s">
        <v>372</v>
      </c>
      <c r="C20" s="54" t="s">
        <v>466</v>
      </c>
      <c r="D20" s="55" t="s">
        <v>467</v>
      </c>
      <c r="E20" s="56" t="s">
        <v>375</v>
      </c>
      <c r="F20" s="57" t="s">
        <v>157</v>
      </c>
      <c r="G20" s="58" t="s">
        <v>133</v>
      </c>
      <c r="H20" s="59" t="s">
        <v>376</v>
      </c>
      <c r="I20" s="60" t="s">
        <v>377</v>
      </c>
    </row>
    <row r="21" spans="1:9">
      <c r="B21" s="61" t="s">
        <v>378</v>
      </c>
      <c r="C21" s="62" t="s">
        <v>468</v>
      </c>
      <c r="D21" s="63" t="s">
        <v>380</v>
      </c>
      <c r="E21" s="63" t="s">
        <v>469</v>
      </c>
      <c r="F21" s="64"/>
      <c r="G21" s="63" t="s">
        <v>470</v>
      </c>
      <c r="H21" s="63" t="s">
        <v>471</v>
      </c>
      <c r="I21" s="64"/>
    </row>
    <row r="22" spans="1:9">
      <c r="B22" s="65"/>
      <c r="C22" s="66" t="s">
        <v>386</v>
      </c>
      <c r="D22" s="63" t="s">
        <v>387</v>
      </c>
      <c r="E22" s="63" t="s">
        <v>472</v>
      </c>
      <c r="F22" s="64"/>
      <c r="G22" s="63" t="s">
        <v>390</v>
      </c>
      <c r="H22" s="64"/>
      <c r="I22" s="64"/>
    </row>
    <row r="23" ht="21.6" spans="1:9">
      <c r="B23" s="65"/>
      <c r="C23" s="67" t="s">
        <v>473</v>
      </c>
      <c r="D23" s="64"/>
      <c r="E23" s="63" t="s">
        <v>474</v>
      </c>
      <c r="F23" s="63" t="s">
        <v>475</v>
      </c>
      <c r="G23" s="63" t="s">
        <v>476</v>
      </c>
      <c r="H23" s="63" t="s">
        <v>477</v>
      </c>
      <c r="I23" s="63" t="s">
        <v>478</v>
      </c>
    </row>
    <row r="24" spans="1:9">
      <c r="B24" s="65"/>
      <c r="C24" s="68" t="s">
        <v>479</v>
      </c>
      <c r="D24" s="64"/>
      <c r="E24" s="63" t="s">
        <v>480</v>
      </c>
      <c r="F24" s="63" t="s">
        <v>481</v>
      </c>
      <c r="G24" s="63" t="s">
        <v>482</v>
      </c>
      <c r="H24" s="64"/>
      <c r="I24" s="64"/>
    </row>
    <row r="25" spans="1:9">
      <c r="B25" s="65"/>
      <c r="C25" s="69" t="s">
        <v>483</v>
      </c>
      <c r="D25" s="64"/>
      <c r="E25" s="63" t="s">
        <v>484</v>
      </c>
      <c r="F25" s="63" t="s">
        <v>485</v>
      </c>
      <c r="G25" s="63" t="s">
        <v>486</v>
      </c>
      <c r="H25" s="63" t="s">
        <v>487</v>
      </c>
      <c r="I25" s="64"/>
    </row>
    <row r="26" spans="1:9">
      <c r="B26" s="65"/>
      <c r="C26" s="70" t="s">
        <v>488</v>
      </c>
      <c r="D26" s="64"/>
      <c r="E26" s="63" t="s">
        <v>489</v>
      </c>
      <c r="F26" s="64"/>
      <c r="G26" s="63" t="s">
        <v>461</v>
      </c>
      <c r="H26" s="63" t="s">
        <v>490</v>
      </c>
      <c r="I26" s="64"/>
    </row>
    <row r="27" ht="21.6" spans="1:9">
      <c r="B27" s="71" t="s">
        <v>404</v>
      </c>
      <c r="C27" s="72" t="s">
        <v>491</v>
      </c>
      <c r="D27" s="64"/>
      <c r="E27" s="63" t="s">
        <v>492</v>
      </c>
      <c r="F27" s="63" t="s">
        <v>493</v>
      </c>
      <c r="G27" s="63" t="s">
        <v>494</v>
      </c>
      <c r="H27" s="63" t="s">
        <v>495</v>
      </c>
      <c r="I27" s="64"/>
    </row>
    <row r="28" ht="21.6" spans="1:9">
      <c r="B28" s="73" t="s">
        <v>416</v>
      </c>
      <c r="C28" s="74" t="s">
        <v>445</v>
      </c>
      <c r="D28" s="63" t="s">
        <v>446</v>
      </c>
      <c r="E28" s="63" t="s">
        <v>496</v>
      </c>
      <c r="F28" s="63" t="s">
        <v>497</v>
      </c>
      <c r="G28" s="63" t="s">
        <v>449</v>
      </c>
      <c r="H28" s="64"/>
      <c r="I28" s="64"/>
    </row>
    <row r="29" spans="1:9">
      <c r="B29" s="75"/>
      <c r="C29" s="76" t="s">
        <v>498</v>
      </c>
      <c r="D29" s="63" t="s">
        <v>499</v>
      </c>
      <c r="E29" s="63" t="s">
        <v>500</v>
      </c>
      <c r="F29" s="63" t="s">
        <v>501</v>
      </c>
      <c r="G29" s="63" t="s">
        <v>502</v>
      </c>
      <c r="H29" s="64"/>
      <c r="I29" s="64"/>
    </row>
    <row r="30" spans="1:9">
      <c r="B30" s="75"/>
      <c r="C30" s="77" t="s">
        <v>503</v>
      </c>
      <c r="D30" s="64"/>
      <c r="E30" s="63" t="s">
        <v>504</v>
      </c>
      <c r="F30" s="63" t="s">
        <v>505</v>
      </c>
      <c r="G30" s="64"/>
      <c r="H30" s="64"/>
      <c r="I30" s="64"/>
    </row>
    <row r="32" ht="15.6" spans="1:9">
      <c r="A32" t="s">
        <v>506</v>
      </c>
      <c r="B32" s="78"/>
      <c r="C32" s="79" t="s">
        <v>507</v>
      </c>
      <c r="D32" s="80" t="s">
        <v>508</v>
      </c>
      <c r="E32" s="81"/>
      <c r="F32" s="82"/>
    </row>
    <row r="33" ht="15.6" spans="2:6">
      <c r="B33" s="78"/>
      <c r="C33" s="83" t="s">
        <v>491</v>
      </c>
      <c r="D33" s="80" t="s">
        <v>492</v>
      </c>
      <c r="E33" s="82"/>
      <c r="F33" s="84" t="s">
        <v>509</v>
      </c>
    </row>
    <row r="34" ht="15.6" spans="2:6">
      <c r="B34" s="78"/>
      <c r="C34" s="83" t="s">
        <v>510</v>
      </c>
      <c r="D34" s="84" t="s">
        <v>511</v>
      </c>
      <c r="E34" s="84" t="s">
        <v>512</v>
      </c>
      <c r="F34" s="84" t="s">
        <v>513</v>
      </c>
    </row>
    <row r="35" ht="15.6" spans="2:6">
      <c r="B35" s="78"/>
      <c r="C35" s="85" t="s">
        <v>514</v>
      </c>
      <c r="D35" s="86"/>
      <c r="E35" s="80" t="s">
        <v>515</v>
      </c>
      <c r="F35" s="82"/>
    </row>
    <row r="36" ht="15.6" spans="2:6">
      <c r="B36" s="78"/>
      <c r="C36" s="83" t="s">
        <v>516</v>
      </c>
      <c r="D36" s="84" t="s">
        <v>517</v>
      </c>
      <c r="E36" s="84" t="s">
        <v>518</v>
      </c>
      <c r="F36" s="84" t="s">
        <v>519</v>
      </c>
    </row>
    <row r="37" ht="15" customHeight="1" spans="2:6">
      <c r="B37" s="78"/>
      <c r="C37" s="83" t="s">
        <v>386</v>
      </c>
      <c r="D37" s="84" t="s">
        <v>520</v>
      </c>
      <c r="E37" s="86"/>
      <c r="F37" s="8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workbookViewId="0">
      <selection activeCell="L15" sqref="L15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521</v>
      </c>
    </row>
    <row r="4" spans="2:11">
      <c r="B4" s="11" t="s">
        <v>522</v>
      </c>
      <c r="C4" t="s">
        <v>523</v>
      </c>
      <c r="D4">
        <v>11.25</v>
      </c>
      <c r="E4">
        <v>19.31</v>
      </c>
      <c r="F4">
        <v>23.69</v>
      </c>
      <c r="G4">
        <v>22.25</v>
      </c>
      <c r="H4">
        <v>30.94</v>
      </c>
    </row>
    <row r="5" spans="2:11">
      <c r="B5" s="11"/>
      <c r="C5" t="s">
        <v>524</v>
      </c>
      <c r="D5">
        <v>8.125</v>
      </c>
      <c r="E5">
        <v>21.22</v>
      </c>
      <c r="F5">
        <v>23.41</v>
      </c>
      <c r="G5">
        <v>24.78</v>
      </c>
      <c r="H5">
        <v>30.47</v>
      </c>
    </row>
    <row r="6" spans="2:11">
      <c r="B6" s="11"/>
      <c r="C6" s="12" t="s">
        <v>525</v>
      </c>
      <c r="D6" s="12">
        <f t="shared" ref="D6:I6" si="0">ROUND(AVERAGE(D4:D5),2)</f>
        <v>9.69</v>
      </c>
      <c r="E6" s="12">
        <f t="shared" si="0"/>
        <v>20.27</v>
      </c>
      <c r="F6" s="12">
        <f t="shared" si="0"/>
        <v>23.55</v>
      </c>
      <c r="G6" s="12">
        <f t="shared" si="0"/>
        <v>23.52</v>
      </c>
      <c r="H6" s="12">
        <v>30.71</v>
      </c>
      <c r="I6" s="12" t="e">
        <f t="shared" si="0"/>
        <v>#DIV/0!</v>
      </c>
    </row>
    <row r="7" spans="2:11">
      <c r="B7" s="13" t="s">
        <v>526</v>
      </c>
      <c r="C7" t="s">
        <v>524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</row>
    <row r="8" spans="2:11">
      <c r="B8" s="13"/>
      <c r="C8" t="s">
        <v>527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</row>
    <row r="9" spans="2:11">
      <c r="B9" s="13"/>
      <c r="C9" t="s">
        <v>528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</row>
    <row r="10" spans="2:11">
      <c r="B10" s="13"/>
      <c r="C10" t="s">
        <v>529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</row>
    <row r="11" spans="2:11">
      <c r="B11" s="13"/>
      <c r="C11" t="s">
        <v>530</v>
      </c>
    </row>
    <row r="12" spans="2:11">
      <c r="B12" s="13"/>
      <c r="C12" s="14" t="s">
        <v>531</v>
      </c>
      <c r="D12" s="14">
        <f>ROUND(MAX(D7:D10),2)</f>
        <v>18.75</v>
      </c>
      <c r="E12" s="14">
        <f>ROUND(MAX(E7:E10),2)</f>
        <v>60.93</v>
      </c>
      <c r="F12" s="14">
        <f>ROUND(MAX(F7:F10),2)</f>
        <v>79.26</v>
      </c>
      <c r="G12" s="14">
        <f>ROUND(MAX(G7:G10),2)</f>
        <v>72.86</v>
      </c>
      <c r="H12" s="14">
        <f>ROUND(MAX(H7:H10),2)</f>
        <v>83.28</v>
      </c>
    </row>
    <row r="13" spans="2:11">
      <c r="B13" s="13"/>
      <c r="C13" s="14" t="s">
        <v>532</v>
      </c>
      <c r="D13" s="14">
        <f>ROUND(MIN(D7:D10),2)</f>
        <v>15</v>
      </c>
      <c r="E13" s="14">
        <f>ROUND(MIN(E7:E10),2)</f>
        <v>53.72</v>
      </c>
      <c r="F13" s="14">
        <f>ROUND(MIN(F7:F10),2)</f>
        <v>60.5</v>
      </c>
      <c r="G13" s="14">
        <f>ROUND(MIN(G7:G10),2)</f>
        <v>56.75</v>
      </c>
      <c r="H13" s="14">
        <f>ROUND(MIN(H7:H10),2)</f>
        <v>68.69</v>
      </c>
    </row>
    <row r="14" spans="2:11">
      <c r="B14" s="15" t="s">
        <v>533</v>
      </c>
      <c r="C14" t="s">
        <v>534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</row>
    <row r="15" spans="2:11">
      <c r="B15" s="15"/>
      <c r="C15" t="s">
        <v>535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</row>
    <row r="16" spans="2:11">
      <c r="B16" s="15"/>
      <c r="C16" s="16" t="s">
        <v>525</v>
      </c>
      <c r="D16" s="16">
        <f>ROUND(AVERAGE(D14:D15),2)</f>
        <v>0.37</v>
      </c>
      <c r="E16" s="16">
        <f>ROUND(AVERAGE(E14:E15),2)</f>
        <v>0.73</v>
      </c>
      <c r="F16" s="16">
        <f>ROUND(AVERAGE(F14:F15),2)</f>
        <v>0.79</v>
      </c>
      <c r="G16" s="16">
        <f>ROUND(AVERAGE(G14:G15),2)</f>
        <v>0.82</v>
      </c>
      <c r="H16" s="16">
        <f>ROUND(AVERAGE(H14:H15),2)</f>
        <v>0.8</v>
      </c>
    </row>
    <row r="17" spans="2:8">
      <c r="B17" s="17" t="s">
        <v>536</v>
      </c>
      <c r="C17" t="s">
        <v>534</v>
      </c>
      <c r="E17">
        <v>1.005</v>
      </c>
      <c r="F17">
        <v>0.99</v>
      </c>
      <c r="G17">
        <v>1.039</v>
      </c>
      <c r="H17">
        <v>1.129</v>
      </c>
    </row>
    <row r="18" spans="2:8">
      <c r="B18" s="17"/>
      <c r="C18" t="s">
        <v>535</v>
      </c>
      <c r="E18">
        <v>0.81</v>
      </c>
      <c r="F18">
        <v>0.85</v>
      </c>
      <c r="G18">
        <f>1759/2000</f>
        <v>0.8795</v>
      </c>
      <c r="H18">
        <v>0.989</v>
      </c>
    </row>
    <row r="19" spans="2:8">
      <c r="B19" s="17"/>
      <c r="C19" s="18" t="s">
        <v>525</v>
      </c>
      <c r="D19" s="18"/>
      <c r="E19" s="18">
        <f>ROUND(AVERAGE(E17:E18),2)</f>
        <v>0.91</v>
      </c>
      <c r="F19" s="18">
        <f>ROUND(AVERAGE(F17:F18),2)</f>
        <v>0.92</v>
      </c>
      <c r="G19" s="18">
        <f>ROUND(AVERAGE(G17:G18),2)</f>
        <v>0.96</v>
      </c>
      <c r="H19" s="18">
        <f>ROUND(AVERAGE(H17:H18),2)</f>
        <v>1.06</v>
      </c>
    </row>
    <row r="20" spans="2:8">
      <c r="B20" s="19" t="s">
        <v>537</v>
      </c>
      <c r="C20" t="s">
        <v>534</v>
      </c>
      <c r="E20">
        <v>0.27</v>
      </c>
      <c r="F20">
        <v>0.27</v>
      </c>
    </row>
    <row r="21" spans="2:8">
      <c r="B21" s="19"/>
      <c r="C21" t="s">
        <v>535</v>
      </c>
      <c r="E21">
        <v>0.19</v>
      </c>
      <c r="F21">
        <v>0.16</v>
      </c>
    </row>
    <row r="22" spans="2:8">
      <c r="B22" s="19"/>
      <c r="C22" t="s">
        <v>538</v>
      </c>
      <c r="E22">
        <v>0.16</v>
      </c>
      <c r="F22">
        <v>0.16</v>
      </c>
    </row>
    <row r="23" spans="2:8">
      <c r="B23" s="19"/>
      <c r="C23" s="20" t="s">
        <v>525</v>
      </c>
      <c r="D23" s="20">
        <v>0.15</v>
      </c>
      <c r="E23" s="20">
        <f>ROUND(AVERAGE(E20:E22),2)</f>
        <v>0.21</v>
      </c>
      <c r="F23" s="20">
        <f>ROUND(AVERAGE(F20:F22),2)</f>
        <v>0.2</v>
      </c>
    </row>
    <row r="27" spans="2:8">
      <c r="B27" t="s">
        <v>539</v>
      </c>
      <c r="C27" t="s">
        <v>540</v>
      </c>
      <c r="D27" t="s">
        <v>541</v>
      </c>
    </row>
    <row r="28" spans="2:8">
      <c r="C28" t="s">
        <v>542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20:K28 B19:F19 B17:G18 I16:K19 B16:F16 B1:K15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S36"/>
  <sheetViews>
    <sheetView topLeftCell="A11" workbookViewId="0">
      <selection activeCell="C36" sqref="C36"/>
    </sheetView>
  </sheetViews>
  <sheetFormatPr defaultColWidth="8.88888888888889" defaultRowHeight="14.4"/>
  <cols>
    <col min="3" max="3" width="22" customWidth="1"/>
  </cols>
  <sheetData>
    <row r="4" spans="2:19">
      <c r="C4" t="s">
        <v>543</v>
      </c>
      <c r="D4">
        <v>750</v>
      </c>
      <c r="E4" t="s">
        <v>544</v>
      </c>
      <c r="F4">
        <v>359</v>
      </c>
    </row>
    <row r="5" spans="2:19">
      <c r="C5" t="s">
        <v>545</v>
      </c>
      <c r="D5">
        <v>850</v>
      </c>
      <c r="E5" t="s">
        <v>474</v>
      </c>
      <c r="F5">
        <v>502</v>
      </c>
    </row>
    <row r="6" spans="2:19">
      <c r="C6" t="s">
        <v>546</v>
      </c>
      <c r="D6">
        <v>1000</v>
      </c>
      <c r="E6" t="s">
        <v>474</v>
      </c>
      <c r="F6">
        <v>1099</v>
      </c>
    </row>
    <row r="10" spans="2:19">
      <c r="B10" t="s">
        <v>547</v>
      </c>
      <c r="C10" t="s">
        <v>548</v>
      </c>
      <c r="F10">
        <v>528</v>
      </c>
    </row>
    <row r="11" spans="2:19">
      <c r="C11" t="s">
        <v>549</v>
      </c>
      <c r="F11">
        <v>449</v>
      </c>
    </row>
    <row r="13" spans="2:19">
      <c r="B13" t="s">
        <v>550</v>
      </c>
      <c r="C13" t="s">
        <v>551</v>
      </c>
      <c r="D13" s="1" t="s">
        <v>552</v>
      </c>
      <c r="E13" s="2" t="s">
        <v>553</v>
      </c>
      <c r="F13" s="3" t="s">
        <v>554</v>
      </c>
    </row>
    <row r="14" spans="2:19">
      <c r="C14" t="s">
        <v>555</v>
      </c>
      <c r="D14" s="4" t="s">
        <v>556</v>
      </c>
      <c r="E14" s="1" t="s">
        <v>557</v>
      </c>
      <c r="F14" s="5" t="s">
        <v>558</v>
      </c>
      <c r="G14" s="1" t="s">
        <v>559</v>
      </c>
      <c r="H14" t="s">
        <v>560</v>
      </c>
      <c r="I14" s="5" t="s">
        <v>561</v>
      </c>
      <c r="J14" t="s">
        <v>562</v>
      </c>
      <c r="K14" s="1" t="s">
        <v>563</v>
      </c>
      <c r="L14" t="s">
        <v>564</v>
      </c>
      <c r="M14" t="s">
        <v>565</v>
      </c>
      <c r="N14" s="5" t="s">
        <v>566</v>
      </c>
      <c r="O14" t="s">
        <v>567</v>
      </c>
      <c r="P14" t="s">
        <v>568</v>
      </c>
      <c r="Q14" t="s">
        <v>569</v>
      </c>
      <c r="R14" t="s">
        <v>570</v>
      </c>
      <c r="S14" s="5" t="s">
        <v>571</v>
      </c>
    </row>
    <row r="15" spans="2:19">
      <c r="D15" t="s">
        <v>572</v>
      </c>
      <c r="E15" s="5"/>
      <c r="G15" s="5"/>
      <c r="H15" s="4"/>
      <c r="K15" s="5"/>
      <c r="N15" s="3"/>
      <c r="O15" s="5"/>
    </row>
    <row r="16" spans="2:19">
      <c r="C16" t="s">
        <v>573</v>
      </c>
      <c r="E16" s="1" t="s">
        <v>574</v>
      </c>
      <c r="F16" s="3" t="s">
        <v>575</v>
      </c>
      <c r="G16" s="1" t="s">
        <v>576</v>
      </c>
      <c r="H16" t="s">
        <v>577</v>
      </c>
      <c r="I16" s="3" t="s">
        <v>578</v>
      </c>
      <c r="J16" s="2" t="s">
        <v>579</v>
      </c>
      <c r="K16" s="2" t="s">
        <v>580</v>
      </c>
      <c r="L16" s="5" t="s">
        <v>581</v>
      </c>
      <c r="M16" s="2" t="s">
        <v>582</v>
      </c>
      <c r="N16" s="5" t="s">
        <v>583</v>
      </c>
      <c r="O16" s="1" t="s">
        <v>584</v>
      </c>
      <c r="P16" s="5" t="s">
        <v>585</v>
      </c>
      <c r="Q16" s="5" t="s">
        <v>586</v>
      </c>
      <c r="R16" t="s">
        <v>587</v>
      </c>
      <c r="S16" s="3" t="s">
        <v>588</v>
      </c>
    </row>
    <row r="17" spans="3:19">
      <c r="C17" t="s">
        <v>589</v>
      </c>
      <c r="D17" t="s">
        <v>590</v>
      </c>
    </row>
    <row r="18" spans="3:19">
      <c r="D18" t="s">
        <v>278</v>
      </c>
      <c r="F18" s="3">
        <v>549</v>
      </c>
      <c r="H18" s="3">
        <v>749</v>
      </c>
      <c r="I18" s="2">
        <v>1159</v>
      </c>
      <c r="L18">
        <v>379</v>
      </c>
      <c r="N18" s="3">
        <v>999</v>
      </c>
      <c r="P18" s="2">
        <v>2699</v>
      </c>
      <c r="Q18">
        <v>399</v>
      </c>
      <c r="R18" s="2">
        <v>1399</v>
      </c>
      <c r="S18">
        <v>379</v>
      </c>
    </row>
    <row r="19" spans="3:19">
      <c r="C19" t="s">
        <v>591</v>
      </c>
      <c r="D19" t="s">
        <v>592</v>
      </c>
      <c r="F19" s="2"/>
      <c r="H19" s="3"/>
      <c r="I19" s="2"/>
      <c r="J19" s="3"/>
      <c r="O19" s="3"/>
      <c r="R19" s="3"/>
    </row>
    <row r="20" spans="3:19">
      <c r="D20" t="s">
        <v>593</v>
      </c>
      <c r="E20" s="5"/>
      <c r="F20" s="5"/>
      <c r="Q20" s="3"/>
      <c r="R20" s="3"/>
      <c r="S20" s="3"/>
    </row>
    <row r="21" spans="3:19">
      <c r="C21" t="s">
        <v>594</v>
      </c>
      <c r="D21" t="s">
        <v>274</v>
      </c>
      <c r="E21" s="3"/>
      <c r="F21" s="2"/>
      <c r="H21" s="3"/>
      <c r="I21" s="3"/>
      <c r="J21" s="3"/>
      <c r="O21" s="2"/>
      <c r="P21" s="5"/>
    </row>
    <row r="22" ht="15.15" spans="3:19">
      <c r="D22" t="s">
        <v>595</v>
      </c>
      <c r="E22" s="3"/>
      <c r="I22" s="3"/>
      <c r="J22" s="2"/>
      <c r="K22" s="3"/>
      <c r="L22" s="3"/>
      <c r="N22" s="3"/>
      <c r="P22" s="3"/>
    </row>
    <row r="23" spans="3:19">
      <c r="C23" t="s">
        <v>596</v>
      </c>
      <c r="F23" s="6"/>
      <c r="J23" s="6"/>
      <c r="K23" s="3"/>
      <c r="L23" s="7"/>
      <c r="N23" s="3"/>
      <c r="O23" s="6"/>
      <c r="R23" s="6"/>
      <c r="S23" s="6"/>
    </row>
    <row r="24" ht="15.15" spans="3:19">
      <c r="C24" t="s">
        <v>597</v>
      </c>
      <c r="E24" s="8"/>
      <c r="F24" s="9"/>
      <c r="G24" s="10"/>
      <c r="H24" s="5"/>
      <c r="I24" s="3"/>
      <c r="J24" s="9"/>
      <c r="K24" s="5"/>
      <c r="L24" s="9"/>
      <c r="M24" s="2"/>
      <c r="N24" s="5"/>
      <c r="O24" s="9"/>
      <c r="P24" s="3"/>
      <c r="Q24" s="5"/>
      <c r="R24" s="9"/>
      <c r="S24" s="9"/>
    </row>
    <row r="25" spans="3:19">
      <c r="D25" t="s">
        <v>598</v>
      </c>
      <c r="I25" s="5"/>
      <c r="N25" s="5"/>
      <c r="O25" s="2"/>
      <c r="Q25" s="5"/>
    </row>
    <row r="26" spans="3:19">
      <c r="D26" t="s">
        <v>599</v>
      </c>
      <c r="F26" s="3"/>
      <c r="I26" s="3"/>
      <c r="K26" s="2"/>
      <c r="R26" s="3"/>
      <c r="S26" s="2" t="s">
        <v>600</v>
      </c>
    </row>
    <row r="27" spans="3:19">
      <c r="D27" t="s">
        <v>601</v>
      </c>
      <c r="H27" s="3"/>
      <c r="J27" s="3"/>
      <c r="K27" s="2"/>
      <c r="M27" s="3"/>
      <c r="N27" s="5"/>
      <c r="O27" s="2"/>
      <c r="Q27" s="5"/>
      <c r="R27" s="5"/>
    </row>
    <row r="28" spans="3:19">
      <c r="C28" t="s">
        <v>602</v>
      </c>
      <c r="D28" t="s">
        <v>603</v>
      </c>
      <c r="G28" s="2" t="s">
        <v>604</v>
      </c>
      <c r="J28" s="2" t="s">
        <v>604</v>
      </c>
      <c r="O28" s="3" t="s">
        <v>605</v>
      </c>
      <c r="P28" s="3" t="s">
        <v>605</v>
      </c>
      <c r="S28" s="3" t="s">
        <v>605</v>
      </c>
    </row>
    <row r="29" spans="3:19">
      <c r="D29" t="s">
        <v>606</v>
      </c>
      <c r="O29" s="3" t="s">
        <v>605</v>
      </c>
      <c r="P29" s="3" t="s">
        <v>605</v>
      </c>
      <c r="S29" s="2" t="s">
        <v>605</v>
      </c>
    </row>
    <row r="30" customFormat="1" spans="3:19">
      <c r="C30" t="s">
        <v>607</v>
      </c>
      <c r="D30" t="s">
        <v>608</v>
      </c>
      <c r="H30" s="3"/>
      <c r="J30" s="3"/>
      <c r="K30" s="3"/>
      <c r="M30" s="2"/>
      <c r="O30" s="2"/>
    </row>
    <row r="31" spans="3:19">
      <c r="D31" t="s">
        <v>609</v>
      </c>
      <c r="H31" s="5"/>
      <c r="I31" s="5"/>
      <c r="N31" s="5"/>
    </row>
    <row r="32" spans="3:19">
      <c r="C32" t="s">
        <v>610</v>
      </c>
      <c r="D32" t="s">
        <v>611</v>
      </c>
      <c r="K32" s="3"/>
      <c r="M32" s="2"/>
      <c r="O32" s="2"/>
    </row>
    <row r="36" spans="3:3">
      <c r="C36" t="s">
        <v>612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GPU天梯图</vt:lpstr>
      <vt:lpstr>CPU天梯图</vt:lpstr>
      <vt:lpstr>笔记本CPU天梯图</vt:lpstr>
      <vt:lpstr>50系显卡用料</vt:lpstr>
      <vt:lpstr>2025显卡</vt:lpstr>
      <vt:lpstr>2025CPU</vt:lpstr>
      <vt:lpstr>显卡品牌</vt:lpstr>
      <vt:lpstr>内存</vt:lpstr>
      <vt:lpstr>机箱散热电源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2026-10-04T11:15:17Z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
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Obsidian Vaults\新建文件夹\frocloud\frocloud-DIYPCmarket\"/>
    </mc:Choice>
  </mc:AlternateContent>
  <bookViews>
    <workbookView windowWidth="18431" windowHeight="9024"/>
  </bookViews>
  <sheets>
    <sheet name="说明" sheetId="8" r:id="rId1"/>
    <sheet name="GPU天梯图" sheetId="1" r:id="rId2"/>
    <sheet name="桌面端CPU天梯图" sheetId="2" r:id="rId3"/>
    <sheet name="笔记本CPU天梯图" sheetId="3" r:id="rId4"/>
    <sheet name="显卡行情" sheetId="4" r:id="rId5"/>
    <sheet name="CPU行情" sheetId="5" r:id="rId6"/>
    <sheet name="内存行情" sheetId="6" r:id="rId7"/>
    <sheet name="显卡品牌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<sst xmlns="http://schemas.openxmlformats.org/spreadsheetml/2006/main" count="835" uniqueCount="567">
  <si>
    <t>frocloud · DIYPCmarket —— 装机市场调研数据</t>
  </si>
  <si>
    <t>一份可横向对比的显卡 / CPU / 内存行情表。数据由本人手工采集、手工维护，按月更新。</t>
  </si>
  <si>
    <t>本表数据截止：2026-10（各表实际截止月见下方「工作表索引」）</t>
  </si>
  <si>
    <t>一、这是什么</t>
  </si>
  <si>
    <t>把显卡、CPU、内存与存储的价格，压成可以横向对比的表格：性能排序看「天梯图」，在售价格看「行情」，品牌与档位看「显卡品牌」。</t>
  </si>
  <si>
    <t>档案自 2023-05 建档，持续更新至今。每月更新一次，一次更新一个提交；每个月的成品工作簿在 GitHub Release 中发布（tag：data-YYYY-MM）。</t>
  </si>
  <si>
    <t>二、数据采集方式</t>
  </si>
  <si>
    <t>· 显卡、CPU、内存价格：以个人在电商平台的检索为主，辅以 B 站 UP 主「和微论件」《不能碰》系列、「芝士华莱士」《显卡日报》的信息交叉验证。</t>
  </si>
  <si>
    <t>· 链接：和微论件 https://space.bilibili.com/297991412 ｜ 芝士华莱士 https://space.bilibili.com/22697887</t>
  </si>
  <si>
    <t>· 跑分：3DMark（TIME SPY / Port Royal / Steel Nomad）与 PassMark CPU Mark，均为第三方公开数据，非本人实测。</t>
  </si>
  <si>
    <t>· 用料：整理自 B 站 UP 主「51972」「和微论件」的公开拆解资料。</t>
  </si>
  <si>
    <t>三、价格口径</t>
  </si>
  <si>
    <t>全新卡、个人购买途径（电商平台）：取不同店铺的在售最低价，并考虑百亿补贴、618 / 双十一等促销与店家折扣，目的是贴近用户实际花费。</t>
  </si>
  <si>
    <t>不含二手、不含整机拆卡价、不含运费与装机费；同一型号不同品牌、不同用料版本的差价不单独区分，取该型号的最低在售价。</t>
  </si>
  <si>
    <t>四、单位与币种</t>
  </si>
  <si>
    <t>· 显卡、CPU：元（RMB）／每件。</t>
  </si>
  <si>
    <t>· 内存、存储：元（RMB）／每 GB，1GB = 1000MB（即 GiB 按十进制口径折算）。</t>
  </si>
  <si>
    <t>注意：内存、存储列是「每 GB 单价」，不是整条价格——比较时看趋势，不要当成整条内存的售价。</t>
  </si>
  <si>
    <t>五、表格怎么读（重要）</t>
  </si>
  <si>
    <t>「显卡行情」「CPU行情」「内存行情」三张表是宽表：时间当列，第一行是年份，第二行是月份。</t>
  </si>
  <si>
    <t>「内存行情」例：2025 年块是 8、9、10、11、12 月，2026 年块是 6、7、8、9、10 月。月份数字在新的一年会重新从 1 开始，所以看月份必须同时看它上方的年份，单看月份数字会读错。</t>
  </si>
  <si>
    <t>「显卡行情」的年块预置到 2026-12，但 11、12 月为空占位。「最后一列」不等于「最新数据」——请以上方的数据截止日为准。</t>
  </si>
  <si>
    <t>「显卡行情」的月份行里混有两个非月份列：「涨幅」是同比涨幅的计算列，「7月下旬」是 7 月下半月的单次快照，都按列头上的文字识别，不要当作第 7 月。</t>
  </si>
  <si>
    <t>空着的格 = 没有这个数据，不补 0、不猜测。唯一的例外是合并单元格的标签（如「显卡品牌」B3:B6 = 一线）：它是「这个标签适用于整段」，导出 CSV 时会补到该段每一行；合并段的锚点本身是空的（如 Intel 区没写分级），补完后仍然是空。</t>
  </si>
  <si>
    <t>六、字段字典</t>
  </si>
  <si>
    <t>【价格类】</t>
  </si>
  <si>
    <r>
      <t xml:space="preserve">· 涨幅 =（当前月价格 </t>
    </r>
    <r>
      <rPr>
        <sz val="9"/>
        <color rgb="FF00AF52"/>
        <rFont val="宋体"/>
        <charset val="134"/>
      </rPr>
      <t>−</t>
    </r>
    <r>
      <rPr>
        <sz val="9"/>
        <color rgb="FF00AF52"/>
        <rFont val="SimSun"/>
        <charset val="134"/>
      </rPr>
      <t xml:space="preserve"> 表内历史最低价）÷ 表内历史最低价 × 100%。历史最低价取该型号在本表中出现过的价格最小值，因此数值会随表格延长而变化。</t>
    </r>
  </si>
  <si>
    <t>· 「显卡行情」中「性能/价格」列 = 性能分（TOTAL）÷ 该型号当前价格，数值越大越划算。</t>
  </si>
  <si>
    <t>· 内存 / 存储：每 GB 单价；AVG = 同组各容量单价的算术平均，MAX / MIN = 同组最大值 / 最小值。</t>
  </si>
  <si>
    <t>【用料类】（原「50系显卡用料」表的字段定义，该表已移出本工作簿，见下方第九节）</t>
  </si>
  <si>
    <t>· L / W / H：显卡长、宽、厚（mm）；MASS：整卡重量（g）。</t>
  </si>
  <si>
    <t>· SFF：是否满足 SFF-Ready 小机箱兼容（Y = 是）。</t>
  </si>
  <si>
    <t>· 热管：热管数量 × 直径（mm），如 5*8 表示 5 根 8mm 热管；散热：均热板 / 铜底等底座形式；风扇：数量 × 直径（mm）。</t>
  </si>
  <si>
    <t>· 供电：供电相数（核心 + 显存）；BOOST：加速频率（MHz）；功耗：整卡功耗（W）；价格：该型号当时的最低在售价（元）。</t>
  </si>
  <si>
    <t>【品牌类】「显卡品牌」表把每个品牌的产品线按入门（丐版）→ 低端 → 中端 → 高端 → 旗舰 → 超旗舰六档归位，括号内为同一档位的别名（如 ATS巨齿鲨 / Prime大师）。</t>
  </si>
  <si>
    <t>【核心与线程对照】抄自「CPU行情」表末尾的查询小表（它不是价格数据，因此不进 CSV）：</t>
  </si>
  <si>
    <t>Intel Ultra200</t>
  </si>
  <si>
    <t>　　9-85 → 24核/24线程　7-65 → 20/20　5-45 → 14/14</t>
  </si>
  <si>
    <t>Intel 12~14 代</t>
  </si>
  <si>
    <t>　　9-900 → 24/32　7-700 → 20/28　5-600 → 14/20　5-490 → 6/12　5-400 → 10/16　3-100 → 4/8</t>
  </si>
  <si>
    <t>AMD 锐龙 5~9</t>
  </si>
  <si>
    <t>　　9-950 → 16/32　9-900 → 12/24　7-800 → 8/16　7-700 → 8/16　5-600 → 6/12　5-500 → 6/12</t>
  </si>
  <si>
    <t>七、工作表索引</t>
  </si>
  <si>
    <t>序号</t>
  </si>
  <si>
    <t>工作表</t>
  </si>
  <si>
    <t>内容</t>
  </si>
  <si>
    <t>数据截止</t>
  </si>
  <si>
    <t>1</t>
  </si>
  <si>
    <t>GPU天梯图</t>
  </si>
  <si>
    <t>显卡性能分层：按 3DMark 的 TIME SPY / Port Royal / Steel Nomad 分项与 TOTAL 总分排序，五档标注能否胜任</t>
  </si>
  <si>
    <t>2026-10</t>
  </si>
  <si>
    <t>2</t>
  </si>
  <si>
    <t>桌面端CPU天梯图</t>
  </si>
  <si>
    <t>桌面 CPU 性能排序：核心 / 线程、PassMark 多核与单线程评分、档位与备注</t>
  </si>
  <si>
    <t>3</t>
  </si>
  <si>
    <t>笔记本CPU天梯图</t>
  </si>
  <si>
    <t>移动端 CPU 排序（Ultra、HX、AI Max、锐龙等）</t>
  </si>
  <si>
    <t>4</t>
  </si>
  <si>
    <t>显卡行情</t>
  </si>
  <si>
    <t>在售显卡月度价格：2025-01 ~ 2026-10，另含同比涨幅与 7 月下旬快照列</t>
  </si>
  <si>
    <t>5</t>
  </si>
  <si>
    <t>CPU行情</t>
  </si>
  <si>
    <t>在售 CPU 月度价格：2025-01 ~ 2026-10</t>
  </si>
  <si>
    <t>6</t>
  </si>
  <si>
    <t>内存行情</t>
  </si>
  <si>
    <t>内存 / 固态 / 机械硬盘每 GB 单价：2025-08 ~ 2026-10，另含 LMR 类型说明</t>
  </si>
  <si>
    <t>7</t>
  </si>
  <si>
    <t>显卡品牌</t>
  </si>
  <si>
    <t>品牌 × 产品线 × 六档定位对照（一线 / 次一线 / 二线 / 三线）</t>
  </si>
  <si>
    <t>本工作簿共 8 张工作表（含本「说明」表）。</t>
  </si>
  <si>
    <t>原「50系显卡用料」与「机箱散热电源」两张表属私有内容，已移出本工作簿单独归档，不计入以上索引。</t>
  </si>
  <si>
    <t>八、授权与免责</t>
  </si>
  <si>
    <t>· 数据采用 CC BY 4.0 许可：可自由转载、引用、二次分发，只需注明来源（frocloud · DIYPCmarket）。</t>
  </si>
  <si>
    <t>· 引用 3DMark / PassMark / Cinebench 等跑分时，请注明其原始来源与许可状态；本表与上述机构无任何隶属或背书关系。</t>
  </si>
  <si>
    <t>· 本人为 DIY 爱好者，并非专业测试团队；跑分与用料数据均非自行测量，仅供参考，不建议将本仓库作为数据检索来源。</t>
  </si>
  <si>
    <t>· 价格随渠道与时间波动，本表仅供装机参考，不构成购买建议；据此决策风险自负。</t>
  </si>
  <si>
    <t>· 表格为手工整理，错漏在所难免。欢迎通过 Issue 或邮件指正。</t>
  </si>
  <si>
    <t>九、关于 CSV 与私有表</t>
  </si>
  <si>
    <r>
      <t>⚠</t>
    </r>
    <r>
      <rPr>
        <sz val="9"/>
        <color rgb="FF00AF52"/>
        <rFont val="SimSun"/>
        <charset val="134"/>
      </rPr>
      <t xml:space="preserve"> 本工作簿是纯手搓的：任何脚本都只允许**读**它，不允许写。美化（合并、配色、列宽、排序）只能由人工在 WPS / Excel 里完成；导出脚本只单向产出 CSV。</t>
    </r>
  </si>
  <si>
    <t>仓库里的 data/*.csv（7 个长表）由本工作簿生成：性能类进 *-tier.csv，价格类进 *-prices.csv，品牌类进 gpu-brands.csv。CSV 是派生物，请勿手改；改数据只改本工作簿，再跑一次导出脚本。</t>
  </si>
  <si>
    <t>「CPU行情」表末尾的「关于核心与线程」查询小表不是价格数据，不进 CSV（其内容已抄进上方字段字典）。</t>
  </si>
  <si>
    <t>「50系显卡用料」「机箱散热电源」两张表为个人整理内容，不随本工作簿对外发布，另行单独归档（见 备份/ 目录），不计入以上索引。</t>
  </si>
  <si>
    <t>因此本工作簿的可见工作表数 = 7 张数据表 + 本「说明」表 = 8 张；上面的工作表索引与之一一对应。</t>
  </si>
  <si>
    <t>十、本表信息</t>
  </si>
  <si>
    <t>文件</t>
  </si>
  <si>
    <t>frocloud.xlsx</t>
  </si>
  <si>
    <t>版本</t>
  </si>
  <si>
    <t>2026-10（数据截止 2026-10-02）</t>
  </si>
  <si>
    <t>本页更新</t>
  </si>
  <si>
    <t>2026-10-08</t>
  </si>
  <si>
    <t>本工作簿是唯一真源。仓库里 data/*.csv 那 7 个长表由脚本（tools/export_csv.py）从本表生成，工具的产物不反向手改；每月成品以 Release 附件发布（tag data-YYYY-MM）。</t>
  </si>
  <si>
    <t>本页与 README.md 顶部的「读者须知」同源；两者不一致时，以本页与文件内数据为准，并请提 Issue 告知。</t>
  </si>
  <si>
    <t>NVIDIA</t>
  </si>
  <si>
    <t>TIME
SPY</t>
  </si>
  <si>
    <t>Port
Royal</t>
  </si>
  <si>
    <t>TOTAL</t>
  </si>
  <si>
    <t>Steel
Nomad</t>
  </si>
  <si>
    <t>AMD</t>
  </si>
  <si>
    <t>intel</t>
  </si>
  <si>
    <t>其他产品线</t>
  </si>
  <si>
    <t>10系</t>
  </si>
  <si>
    <t>16、20系</t>
  </si>
  <si>
    <t>30系</t>
  </si>
  <si>
    <t>40系</t>
  </si>
  <si>
    <t>50系</t>
  </si>
  <si>
    <t>90系</t>
  </si>
  <si>
    <t>7000系</t>
  </si>
  <si>
    <t>6000系</t>
  </si>
  <si>
    <t>5000系及以前</t>
  </si>
  <si>
    <t>B系</t>
  </si>
  <si>
    <t>A系</t>
  </si>
  <si>
    <t>PRO6000</t>
  </si>
  <si>
    <t>5090D</t>
  </si>
  <si>
    <t>5090DV2</t>
  </si>
  <si>
    <t>4090D</t>
  </si>
  <si>
    <t>胜任</t>
  </si>
  <si>
    <t>5080S</t>
  </si>
  <si>
    <t>好用</t>
  </si>
  <si>
    <t>6000Ada</t>
  </si>
  <si>
    <t>能用</t>
  </si>
  <si>
    <t>9070XT</t>
  </si>
  <si>
    <t>可运行</t>
  </si>
  <si>
    <t>7900XTX</t>
  </si>
  <si>
    <t>无法使用</t>
  </si>
  <si>
    <t>5070TiS</t>
  </si>
  <si>
    <t>4080S</t>
  </si>
  <si>
    <t>5070Ti</t>
  </si>
  <si>
    <t>7900XT</t>
  </si>
  <si>
    <t>4070TiS</t>
  </si>
  <si>
    <t>5000Ada</t>
  </si>
  <si>
    <t>5070S</t>
  </si>
  <si>
    <t>3090Ti</t>
  </si>
  <si>
    <t>4070Ti</t>
  </si>
  <si>
    <t>9070GRE</t>
  </si>
  <si>
    <t>7900GRE</t>
  </si>
  <si>
    <t>4070S</t>
  </si>
  <si>
    <t>3080Ti</t>
  </si>
  <si>
    <t>6950XT</t>
  </si>
  <si>
    <t>6900XT</t>
  </si>
  <si>
    <t>308012G</t>
  </si>
  <si>
    <t>7800XT</t>
  </si>
  <si>
    <t>6800XT</t>
  </si>
  <si>
    <t>A6000</t>
  </si>
  <si>
    <t>9060XT16G</t>
  </si>
  <si>
    <t>7700XT</t>
  </si>
  <si>
    <t>Titan RTX</t>
  </si>
  <si>
    <t>5060Ti16G</t>
  </si>
  <si>
    <t>5060Ti8G</t>
  </si>
  <si>
    <t>9060XT8G</t>
  </si>
  <si>
    <t>3070Ti</t>
  </si>
  <si>
    <t>2080Ti</t>
  </si>
  <si>
    <t>B580</t>
  </si>
  <si>
    <t>4000Ada</t>
  </si>
  <si>
    <t>4060Ti16G</t>
  </si>
  <si>
    <t>4060Ti8G</t>
  </si>
  <si>
    <t>A770</t>
  </si>
  <si>
    <t>6750XT</t>
  </si>
  <si>
    <t>Titan V</t>
  </si>
  <si>
    <t>A750</t>
  </si>
  <si>
    <t>3060Ti</t>
  </si>
  <si>
    <t>G750GRE12G</t>
  </si>
  <si>
    <t>6700XT</t>
  </si>
  <si>
    <t>B570</t>
  </si>
  <si>
    <t>2080S</t>
  </si>
  <si>
    <t>7600XT</t>
  </si>
  <si>
    <t>A4000</t>
  </si>
  <si>
    <t>7650GRE</t>
  </si>
  <si>
    <t>A580</t>
  </si>
  <si>
    <t>6750GRE10G</t>
  </si>
  <si>
    <t>Titan Xp</t>
  </si>
  <si>
    <t>Titan X(Pascal)</t>
  </si>
  <si>
    <t>2070S</t>
  </si>
  <si>
    <t>6650XT</t>
  </si>
  <si>
    <t>6600XT</t>
  </si>
  <si>
    <t>3060GA104</t>
  </si>
  <si>
    <t>306012G</t>
  </si>
  <si>
    <t>2060S</t>
  </si>
  <si>
    <t>1080Ti</t>
  </si>
  <si>
    <t>206012G</t>
  </si>
  <si>
    <t>30608G</t>
  </si>
  <si>
    <t>5700XT</t>
  </si>
  <si>
    <t>7G100</t>
  </si>
  <si>
    <t>1070Ti</t>
  </si>
  <si>
    <t>5600XT</t>
  </si>
  <si>
    <t>1660Ti</t>
  </si>
  <si>
    <t>1660S</t>
  </si>
  <si>
    <t>30506G</t>
  </si>
  <si>
    <t>6500XT</t>
  </si>
  <si>
    <t>5500XT</t>
  </si>
  <si>
    <t>A380</t>
  </si>
  <si>
    <t>10606G</t>
  </si>
  <si>
    <t>1650S</t>
  </si>
  <si>
    <t>10605G</t>
  </si>
  <si>
    <t>10603G</t>
  </si>
  <si>
    <t>560XT</t>
  </si>
  <si>
    <t>1050Ti</t>
  </si>
  <si>
    <t>Intel</t>
  </si>
  <si>
    <t/>
  </si>
  <si>
    <t>核心</t>
  </si>
  <si>
    <t>线程</t>
  </si>
  <si>
    <t>CPU Mark
(多核·PassMark)</t>
  </si>
  <si>
    <t>单线程
评分</t>
  </si>
  <si>
    <t>档位</t>
  </si>
  <si>
    <t>备注</t>
  </si>
  <si>
    <t>AlderLake
12代 · 2021</t>
  </si>
  <si>
    <t>RaptorLake
13代 · 2022</t>
  </si>
  <si>
    <t>RaptorLake-R
14代 · 2023</t>
  </si>
  <si>
    <t>ArrowLake-S
Ultra200 · 2024</t>
  </si>
  <si>
    <t>ZEN3
5000系 · 2020</t>
  </si>
  <si>
    <t>ZEN4
7000系 · 2022</t>
  </si>
  <si>
    <t>ZEN5
9000系 · 2024</t>
  </si>
  <si>
    <t>R99950X3D2</t>
  </si>
  <si>
    <t>旗舰/顶级</t>
  </si>
  <si>
    <t>R99950X3D</t>
  </si>
  <si>
    <t>U7270K PLUS</t>
  </si>
  <si>
    <t>U9285K</t>
  </si>
  <si>
    <t>R99950X</t>
  </si>
  <si>
    <t>R97950X3D</t>
  </si>
  <si>
    <t>R97950X</t>
  </si>
  <si>
    <t>i913900KS</t>
  </si>
  <si>
    <t>缩缸/停产</t>
  </si>
  <si>
    <t>i914900KS</t>
  </si>
  <si>
    <t>U7265K</t>
  </si>
  <si>
    <t>i914900K</t>
  </si>
  <si>
    <t>i913900K</t>
  </si>
  <si>
    <t>高端</t>
  </si>
  <si>
    <t>R99900X3D</t>
  </si>
  <si>
    <t>R99900X</t>
  </si>
  <si>
    <t>i714700K</t>
  </si>
  <si>
    <t>U5250K PLUS</t>
  </si>
  <si>
    <t>R97900X</t>
  </si>
  <si>
    <t>R97900X3D</t>
  </si>
  <si>
    <t>i713700K</t>
  </si>
  <si>
    <t>R95950X</t>
  </si>
  <si>
    <t>U5245K</t>
  </si>
  <si>
    <t>R79850X3D</t>
  </si>
  <si>
    <t>i912900K</t>
  </si>
  <si>
    <t>中高端</t>
  </si>
  <si>
    <t>R79800X3D</t>
  </si>
  <si>
    <t>R95900X</t>
  </si>
  <si>
    <t>i514600K</t>
  </si>
  <si>
    <t>i513600K</t>
  </si>
  <si>
    <t>R79700X</t>
  </si>
  <si>
    <t>R77700</t>
  </si>
  <si>
    <t>R77800X3D</t>
  </si>
  <si>
    <t>i712700K</t>
  </si>
  <si>
    <t>U5230</t>
  </si>
  <si>
    <t>U5225</t>
  </si>
  <si>
    <t>R59600X</t>
  </si>
  <si>
    <t>中端</t>
  </si>
  <si>
    <t>R57600X</t>
  </si>
  <si>
    <t>R59500</t>
  </si>
  <si>
    <t>i512600K</t>
  </si>
  <si>
    <t>i514490</t>
  </si>
  <si>
    <t>i513490</t>
  </si>
  <si>
    <t>R75700X</t>
  </si>
  <si>
    <t>R57500</t>
  </si>
  <si>
    <t>R75700X3D</t>
  </si>
  <si>
    <t>i514400</t>
  </si>
  <si>
    <t>i513400</t>
  </si>
  <si>
    <t>R57400</t>
  </si>
  <si>
    <t>入门</t>
  </si>
  <si>
    <t>R55600X</t>
  </si>
  <si>
    <t>升级</t>
  </si>
  <si>
    <t>R55600</t>
  </si>
  <si>
    <t>i512490</t>
  </si>
  <si>
    <t>R55500X3D</t>
  </si>
  <si>
    <t>R55500</t>
  </si>
  <si>
    <t>i512400</t>
  </si>
  <si>
    <t>i314100</t>
  </si>
  <si>
    <t>i313100</t>
  </si>
  <si>
    <t>i312100</t>
  </si>
  <si>
    <t>300H · Panther</t>
  </si>
  <si>
    <t>HX · Ultra200/Plus</t>
  </si>
  <si>
    <t>200H · Arrow</t>
  </si>
  <si>
    <t>200V · Lunar</t>
  </si>
  <si>
    <t>HX · 14代老(i系)</t>
  </si>
  <si>
    <t>300 · 404缩核</t>
  </si>
  <si>
    <t>Core300 · Walker</t>
  </si>
  <si>
    <t>Core200H 马甲</t>
  </si>
  <si>
    <t>HX9000 · Zen5</t>
  </si>
  <si>
    <t>AI Max+ 300</t>
  </si>
  <si>
    <t>HX 7000/8000 · Zen4</t>
  </si>
  <si>
    <t>AI 400/300 · Zen5</t>
  </si>
  <si>
    <t>锐龙200/8000HS 马甲</t>
  </si>
  <si>
    <t>Zen3+ 老</t>
  </si>
  <si>
    <t>R9 9955HX3D</t>
  </si>
  <si>
    <t>Ultra 9 290HX Plus</t>
  </si>
  <si>
    <t>R9 7945HX3D</t>
  </si>
  <si>
    <t>Ultra 9 285HX</t>
  </si>
  <si>
    <t>R9 9955HX</t>
  </si>
  <si>
    <t>Ultra 9 275HX</t>
  </si>
  <si>
    <t>AI Max+ 395</t>
  </si>
  <si>
    <t>R9 7945HX</t>
  </si>
  <si>
    <t>R9 7940HX</t>
  </si>
  <si>
    <t>R9 9850HX</t>
  </si>
  <si>
    <t>R9 8945HX</t>
  </si>
  <si>
    <t>R9 8940HX</t>
  </si>
  <si>
    <t>Ultra 7 270HX Plus</t>
  </si>
  <si>
    <t>Ultra 7 255HX</t>
  </si>
  <si>
    <t>Ultra 7 251HX</t>
  </si>
  <si>
    <t>AI Max+ 392</t>
  </si>
  <si>
    <t>i9-13980HX</t>
  </si>
  <si>
    <t>R9 7845HX</t>
  </si>
  <si>
    <t>i9-14900HX</t>
  </si>
  <si>
    <t>R7 8840HX</t>
  </si>
  <si>
    <t>AI Max 390</t>
  </si>
  <si>
    <t>Core 7 245HX</t>
  </si>
  <si>
    <t>Ultra 5 235HX</t>
  </si>
  <si>
    <t>AI 9 HX 475</t>
  </si>
  <si>
    <t>Ultra X9 378H</t>
  </si>
  <si>
    <t>AI 9 HX 470</t>
  </si>
  <si>
    <t>i7-14700HX</t>
  </si>
  <si>
    <t>Ultra X9 388H</t>
  </si>
  <si>
    <t>Ultra 9 386H</t>
  </si>
  <si>
    <t>AI 9 HX 375</t>
  </si>
  <si>
    <t>AI 9 HX 370</t>
  </si>
  <si>
    <t>Ultra 7 356H</t>
  </si>
  <si>
    <t>Ultra 9 285H</t>
  </si>
  <si>
    <t>Ultra X7 358H</t>
  </si>
  <si>
    <t>AI Max 385</t>
  </si>
  <si>
    <t>i7-14650HX</t>
  </si>
  <si>
    <t>AI Max+ 388</t>
  </si>
  <si>
    <t>Ultra X7 368H</t>
  </si>
  <si>
    <t>R7 8745HX</t>
  </si>
  <si>
    <t>Ultra 7 255H</t>
  </si>
  <si>
    <t>AI 9 365</t>
  </si>
  <si>
    <t>i7-13650HX</t>
  </si>
  <si>
    <t>R7 8745H</t>
  </si>
  <si>
    <t>R7 7840HS</t>
  </si>
  <si>
    <t>R7 H 260</t>
  </si>
  <si>
    <t>R7 H 255</t>
  </si>
  <si>
    <t>AI 9 H 465</t>
  </si>
  <si>
    <t>Ultra 5 225H</t>
  </si>
  <si>
    <t>Ultra 5 338H</t>
  </si>
  <si>
    <t>i5-13500HX</t>
  </si>
  <si>
    <t>R7 8845H</t>
  </si>
  <si>
    <t>AI 7 H 350</t>
  </si>
  <si>
    <t>R7 7735H</t>
  </si>
  <si>
    <t>R7 7435H</t>
  </si>
  <si>
    <t>R7 6800H</t>
  </si>
  <si>
    <t>R5 8645HS</t>
  </si>
  <si>
    <t>Core 5 220H</t>
  </si>
  <si>
    <t>Ultra 5 125H</t>
  </si>
  <si>
    <t>Ultra 9 288V</t>
  </si>
  <si>
    <t>AI 5 340</t>
  </si>
  <si>
    <t>Ultra 5 325</t>
  </si>
  <si>
    <t>Ultra 7 268V</t>
  </si>
  <si>
    <t>Ultra 7 258V</t>
  </si>
  <si>
    <t>Ultra 5 238V</t>
  </si>
  <si>
    <t>Ultra 5 228V</t>
  </si>
  <si>
    <t>Ultra 5 226V</t>
  </si>
  <si>
    <t>Core 5 315</t>
  </si>
  <si>
    <t>Core 5 320</t>
  </si>
  <si>
    <t>Ultra 5 322</t>
  </si>
  <si>
    <t>Ultra 5 332</t>
  </si>
  <si>
    <t>Core 3 305</t>
  </si>
  <si>
    <t>Core 3 304</t>
  </si>
  <si>
    <t>涨幅</t>
  </si>
  <si>
    <t>7月下旬</t>
  </si>
  <si>
    <t>Blackwell
TSMC 3nm
2025</t>
  </si>
  <si>
    <t>Ada Lovelace
TSMC 5nm
2022</t>
  </si>
  <si>
    <t>RDNA4
TSMC 4nm
2025</t>
  </si>
  <si>
    <t>RDNA3
TSMC 5nm6nm
2022</t>
  </si>
  <si>
    <t>RDNA2
TSMC 7NM
2020</t>
  </si>
  <si>
    <t>6750GRE12G</t>
  </si>
  <si>
    <t>Xe2 TSMC 5nm 2024</t>
  </si>
  <si>
    <t>ArrowLake-S
TSMC 3nm
2024</t>
  </si>
  <si>
    <t>U3205</t>
  </si>
  <si>
    <t>RaptorLake-R
Intel 7nm
2023</t>
  </si>
  <si>
    <t>缩缸</t>
  </si>
  <si>
    <t>RaptorLake
Intel 7nm
2022</t>
  </si>
  <si>
    <t>AlderLake
Intel 7nm
2021</t>
  </si>
  <si>
    <t>ZEN5
TSMC 4nm
2024</t>
  </si>
  <si>
    <t>ZEN4
TSMC 5nm
2022</t>
  </si>
  <si>
    <t>ZEN3
TSMC 7nm
2020</t>
  </si>
  <si>
    <t>关于核心与线程</t>
  </si>
  <si>
    <t>注：13系，14系的含KCPU均已停产</t>
  </si>
  <si>
    <t>cores</t>
  </si>
  <si>
    <t>threads</t>
  </si>
  <si>
    <t>U200</t>
  </si>
  <si>
    <t>9-85</t>
  </si>
  <si>
    <t>7-65</t>
  </si>
  <si>
    <t>5-45</t>
  </si>
  <si>
    <t>i12-14</t>
  </si>
  <si>
    <t>9-900</t>
  </si>
  <si>
    <t>7-700</t>
  </si>
  <si>
    <t>5-600</t>
  </si>
  <si>
    <t>5-490</t>
  </si>
  <si>
    <t>5-400</t>
  </si>
  <si>
    <t>3-100</t>
  </si>
  <si>
    <t>R5-9</t>
  </si>
  <si>
    <t>9-950</t>
  </si>
  <si>
    <t>7-800</t>
  </si>
  <si>
    <t>5-500</t>
  </si>
  <si>
    <t>pGB</t>
  </si>
  <si>
    <t>DDR4</t>
  </si>
  <si>
    <t>8*2</t>
  </si>
  <si>
    <t>16*2</t>
  </si>
  <si>
    <t>AVG</t>
  </si>
  <si>
    <t>DDR5</t>
  </si>
  <si>
    <t>24*2</t>
  </si>
  <si>
    <t>32*2</t>
  </si>
  <si>
    <t>48*2</t>
  </si>
  <si>
    <t>64*2</t>
  </si>
  <si>
    <t>MAX</t>
  </si>
  <si>
    <t>MIN</t>
  </si>
  <si>
    <t>PCIE4</t>
  </si>
  <si>
    <t>1TB</t>
  </si>
  <si>
    <t>2TB</t>
  </si>
  <si>
    <t>PCIE5</t>
  </si>
  <si>
    <t>HDD</t>
  </si>
  <si>
    <t>4TB</t>
  </si>
  <si>
    <t>LMR</t>
  </si>
  <si>
    <t>PMR(CMR)</t>
  </si>
  <si>
    <t>SMR</t>
  </si>
  <si>
    <t>垂直式</t>
  </si>
  <si>
    <t>N</t>
  </si>
  <si>
    <t>品牌分级</t>
  </si>
  <si>
    <r>
      <rPr>
        <b/>
        <sz val="6"/>
        <color rgb="FFB80000"/>
        <rFont val="SimSun"/>
        <charset val="134"/>
      </rPr>
      <t>显卡品牌</t>
    </r>
  </si>
  <si>
    <r>
      <rPr>
        <b/>
        <sz val="7"/>
        <color rgb="FF00AF52"/>
        <rFont val="SimSun"/>
        <charset val="134"/>
      </rPr>
      <t>入门(丐版)</t>
    </r>
  </si>
  <si>
    <t>低端</t>
  </si>
  <si>
    <t>旗舰</t>
  </si>
  <si>
    <t>超旗舰</t>
  </si>
  <si>
    <t>一线</t>
  </si>
  <si>
    <t>华硕
ASUS</t>
  </si>
  <si>
    <t>Phoenix</t>
  </si>
  <si>
    <t>DUAL
地狱犬
Turbo</t>
  </si>
  <si>
    <t>ATS巨齿鲨
Prime大师</t>
  </si>
  <si>
    <t>TUF电竞特工
Strix猛禽</t>
  </si>
  <si>
    <t>Poseidon海神
Astral夜神</t>
  </si>
  <si>
    <t>Matrix骇客</t>
  </si>
  <si>
    <t>微星</t>
  </si>
  <si>
    <t>AERO</t>
  </si>
  <si>
    <t>VENTUS万图师</t>
  </si>
  <si>
    <t>ARMOR装甲师
DUKE暗黑龙爵</t>
  </si>
  <si>
    <t>魔龙</t>
  </si>
  <si>
    <t>SUPRIM超龙
神龙</t>
  </si>
  <si>
    <t>Lightning闪电</t>
  </si>
  <si>
    <t>EVGA</t>
  </si>
  <si>
    <t>SC</t>
  </si>
  <si>
    <t>XC</t>
  </si>
  <si>
    <t>FTW</t>
  </si>
  <si>
    <t>KINGPIN</t>
  </si>
  <si>
    <t>七彩虹</t>
  </si>
  <si>
    <t>COLORFUL
灵动鲨/网驰</t>
  </si>
  <si>
    <t>战斧</t>
  </si>
  <si>
    <t>Ultra
战斧豪华版</t>
  </si>
  <si>
    <t>Advanced
UltraWOC</t>
  </si>
  <si>
    <t>Vulkan火神
Neptune水神</t>
  </si>
  <si>
    <t>KUDAN九段</t>
  </si>
  <si>
    <t>次一线</t>
  </si>
  <si>
    <t>影驰</t>
  </si>
  <si>
    <t>晓将</t>
  </si>
  <si>
    <t>大将/黑将</t>
  </si>
  <si>
    <t>星耀
金属大师</t>
  </si>
  <si>
    <t>圣刃
魔刃</t>
  </si>
  <si>
    <t>HOF
名人堂</t>
  </si>
  <si>
    <t>HOFOCLAB金标名人堂</t>
  </si>
  <si>
    <t>丽台</t>
  </si>
  <si>
    <t>CLASSIC/GENE ES</t>
  </si>
  <si>
    <t>LIFE ES</t>
  </si>
  <si>
    <t>HURRICAN</t>
  </si>
  <si>
    <t>二线</t>
  </si>
  <si>
    <t>索泰</t>
  </si>
  <si>
    <t>毁灭者</t>
  </si>
  <si>
    <t>露雳版</t>
  </si>
  <si>
    <t>XGAMING</t>
  </si>
  <si>
    <t>天启
solid</t>
  </si>
  <si>
    <t>PGF
AMP</t>
  </si>
  <si>
    <t>映众</t>
  </si>
  <si>
    <t>黑金战神</t>
  </si>
  <si>
    <t>曜夜/映雪
黑金至尊</t>
  </si>
  <si>
    <t>GAMING X3</t>
  </si>
  <si>
    <t>冰龙</t>
  </si>
  <si>
    <t>超级冰龙</t>
  </si>
  <si>
    <t>耕升</t>
  </si>
  <si>
    <t>DUG/迎风</t>
  </si>
  <si>
    <t>追风/踏雪</t>
  </si>
  <si>
    <t>星极</t>
  </si>
  <si>
    <t>炫光/G魂</t>
  </si>
  <si>
    <t>帝魂</t>
  </si>
  <si>
    <t>铭瑄</t>
  </si>
  <si>
    <t>Big mac</t>
  </si>
  <si>
    <t>终结者/Turbo</t>
  </si>
  <si>
    <t>ICRAFT电竞之心</t>
  </si>
  <si>
    <t>瑷珈</t>
  </si>
  <si>
    <t>MGG</t>
  </si>
  <si>
    <t>镭风
（七彩虹）</t>
  </si>
  <si>
    <t>元气</t>
  </si>
  <si>
    <t>元气满满
清凉薄荷</t>
  </si>
  <si>
    <t>MEOW</t>
  </si>
  <si>
    <t>盈通</t>
  </si>
  <si>
    <t>极速版</t>
  </si>
  <si>
    <t>大地之神</t>
  </si>
  <si>
    <t>游戏高手
六道兵甲
豪华版</t>
  </si>
  <si>
    <t>樱瞳</t>
  </si>
  <si>
    <t>三线</t>
  </si>
  <si>
    <t>万丽</t>
  </si>
  <si>
    <t>单风扇版</t>
  </si>
  <si>
    <t>星际
雪狐</t>
  </si>
  <si>
    <t>GALLARDO
星舰</t>
  </si>
  <si>
    <t>星云</t>
  </si>
  <si>
    <t>电竞叛客
（映众）</t>
  </si>
  <si>
    <t>X2</t>
  </si>
  <si>
    <t>X3</t>
  </si>
  <si>
    <t>翔升</t>
  </si>
  <si>
    <t>青春/极光</t>
  </si>
  <si>
    <t>战神</t>
  </si>
  <si>
    <t>PNY</t>
  </si>
  <si>
    <t>标准版</t>
  </si>
  <si>
    <t>XLR8</t>
  </si>
  <si>
    <t>A</t>
  </si>
  <si>
    <t>入门(丐版)</t>
  </si>
  <si>
    <t>华硕</t>
  </si>
  <si>
    <t>DUAL</t>
  </si>
  <si>
    <t>TUF电竞特工</t>
  </si>
  <si>
    <t>Strix猛禽</t>
  </si>
  <si>
    <t>MECH机械师</t>
  </si>
  <si>
    <t>蓝宝石</t>
  </si>
  <si>
    <t>白金</t>
  </si>
  <si>
    <t>超白金</t>
  </si>
  <si>
    <t>超白金特别版</t>
  </si>
  <si>
    <t>毒药</t>
  </si>
  <si>
    <t>ATOMIC
原子</t>
  </si>
  <si>
    <t>讯景</t>
  </si>
  <si>
    <t>黑狼/战狼</t>
  </si>
  <si>
    <t>雪狼/海外版</t>
  </si>
  <si>
    <t>海外版PRO</t>
  </si>
  <si>
    <t>撼讯</t>
  </si>
  <si>
    <t>竞技</t>
  </si>
  <si>
    <t>暗黑犬</t>
  </si>
  <si>
    <t>红魔</t>
  </si>
  <si>
    <t>水魔</t>
  </si>
  <si>
    <t>迪兰</t>
  </si>
  <si>
    <t>战将</t>
  </si>
  <si>
    <t>恶魔</t>
  </si>
  <si>
    <t>华擎</t>
  </si>
  <si>
    <t>挑战者</t>
  </si>
  <si>
    <t>钢铁传奇</t>
  </si>
  <si>
    <t>幻影游戏
太极</t>
  </si>
  <si>
    <t>AQUA水神
超频方程式</t>
  </si>
  <si>
    <t>大地之神
豪华版</t>
  </si>
  <si>
    <t>游戏高手
六道兵甲</t>
  </si>
  <si>
    <t>瀚铠</t>
  </si>
  <si>
    <t>探索</t>
  </si>
  <si>
    <t>星空</t>
  </si>
  <si>
    <t>合金</t>
  </si>
  <si>
    <t>超合金</t>
  </si>
  <si>
    <t>速驹</t>
  </si>
  <si>
    <t>闪电</t>
  </si>
  <si>
    <t>极光</t>
  </si>
  <si>
    <t>I</t>
  </si>
  <si>
    <t>英特尔</t>
  </si>
  <si>
    <t>锐炫</t>
  </si>
  <si>
    <t>幻影游戏</t>
  </si>
  <si>
    <t>蓝戟</t>
  </si>
  <si>
    <t>源</t>
  </si>
  <si>
    <t>光</t>
  </si>
  <si>
    <t>影</t>
  </si>
  <si>
    <t>宏碁</t>
  </si>
  <si>
    <t>掠夺者BiFrost</t>
  </si>
  <si>
    <t>撼与</t>
  </si>
  <si>
    <t>ELF</t>
  </si>
  <si>
    <t>ORCC</t>
  </si>
  <si>
    <t>TITAN</t>
  </si>
  <si>
    <t>不参与零售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</si>
</sst>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（预估）&quot;"/>
  </numFmts>
  <fonts count="76">
    <font>
      <sz val="11"/>
      <color theme="1"/>
      <name val="宋体"/>
      <charset val="134"/>
      <scheme val="minor"/>
    </font>
    <font>
      <b/>
      <sz val="6"/>
      <color rgb="FFB80000"/>
      <name val="SimSun"/>
      <charset val="134"/>
    </font>
    <font>
      <b/>
      <sz val="7"/>
      <color rgb="FF00AF52"/>
      <name val="SimSun"/>
      <charset val="134"/>
    </font>
    <font>
      <b/>
      <sz val="8"/>
      <color rgb="FF00A6E3"/>
      <name val="SimSun"/>
      <charset val="134"/>
    </font>
    <font>
      <b/>
      <sz val="8"/>
      <name val="SimSun"/>
      <charset val="134"/>
    </font>
    <font>
      <b/>
      <sz val="8"/>
      <color rgb="FFE10000"/>
      <name val="SimSun"/>
      <charset val="134"/>
    </font>
    <font>
      <b/>
      <sz val="8"/>
      <color rgb="FFDA6600"/>
      <name val="SimSun"/>
      <charset val="134"/>
    </font>
    <font>
      <b/>
      <sz val="8"/>
      <color rgb="FFF4BB00"/>
      <name val="SimSun"/>
      <charset val="134"/>
    </font>
    <font>
      <b/>
      <sz val="8"/>
      <color rgb="FF493100"/>
      <name val="SimSun"/>
      <charset val="134"/>
    </font>
    <font>
      <i/>
      <sz val="8"/>
      <name val="SimSun"/>
      <charset val="134"/>
    </font>
    <font>
      <sz val="8"/>
      <name val="楷体"/>
      <charset val="134"/>
    </font>
    <font>
      <sz val="8"/>
      <color rgb="FF000000"/>
      <name val="Arial"/>
      <charset val="204"/>
    </font>
    <font>
      <sz val="8"/>
      <name val="SimSun"/>
      <charset val="134"/>
    </font>
    <font>
      <sz val="8"/>
      <color rgb="FF000000"/>
      <name val="楷体"/>
      <charset val="204"/>
    </font>
    <font>
      <b/>
      <sz val="8"/>
      <color rgb="FF4B0000"/>
      <name val="SimSun"/>
      <charset val="134"/>
    </font>
    <font>
      <b/>
      <sz val="8"/>
      <color rgb="FF001436"/>
      <name val="SimSun"/>
      <charset val="134"/>
    </font>
    <font>
      <b/>
      <sz val="8"/>
      <color rgb="FF20004A"/>
      <name val="SimSun"/>
      <charset val="134"/>
    </font>
    <font>
      <sz val="9"/>
      <color rgb="FFB50000"/>
      <name val="WPS灵秀黑"/>
      <charset val="134"/>
    </font>
    <font>
      <sz val="9"/>
      <color rgb="FFB50006"/>
      <name val="WPS灵秀黑"/>
      <charset val="134"/>
    </font>
    <font>
      <sz val="9"/>
      <color rgb="FF009C49"/>
      <name val="WPS灵秀黑"/>
      <charset val="134"/>
    </font>
    <font>
      <sz val="9"/>
      <color rgb="FF00A5E1"/>
      <name val="WPS灵秀黑"/>
      <charset val="134"/>
    </font>
    <font>
      <sz val="9"/>
      <name val="WPS灵秀黑"/>
      <charset val="134"/>
    </font>
    <font>
      <sz val="9"/>
      <color rgb="FFDD0000"/>
      <name val="WPS灵秀黑"/>
      <charset val="134"/>
    </font>
    <font>
      <sz val="9"/>
      <color rgb="FFD96500"/>
      <name val="WPS灵秀黑"/>
      <charset val="134"/>
    </font>
    <font>
      <sz val="9"/>
      <color rgb="FFF3BA00"/>
      <name val="WPS灵秀黑"/>
      <charset val="134"/>
    </font>
    <font>
      <sz val="9"/>
      <color rgb="FF3A2900"/>
      <name val="WPS灵秀黑"/>
      <charset val="134"/>
    </font>
    <font>
      <i/>
      <sz val="9"/>
      <color rgb="FF4F3D00"/>
      <name val="WPS灵秀黑"/>
      <charset val="134"/>
    </font>
    <font>
      <sz val="9"/>
      <name val="楷体"/>
      <charset val="134"/>
    </font>
    <font>
      <sz val="9"/>
      <name val="楷体"/>
      <charset val="204"/>
    </font>
    <font>
      <sz val="9"/>
      <color rgb="FF000000"/>
      <name val="WPS灵秀黑"/>
      <charset val="204"/>
    </font>
    <font>
      <i/>
      <sz val="9"/>
      <color rgb="FF402B00"/>
      <name val="WPS灵秀黑"/>
      <charset val="134"/>
    </font>
    <font>
      <sz val="9"/>
      <color rgb="FF3B2700"/>
      <name val="WPS灵秀黑"/>
      <charset val="134"/>
    </font>
    <font>
      <sz val="9"/>
      <color rgb="FF453000"/>
      <name val="WPS灵秀黑"/>
      <charset val="134"/>
    </font>
    <font>
      <sz val="9"/>
      <color rgb="FF432F00"/>
      <name val="WPS灵秀黑"/>
      <charset val="134"/>
    </font>
    <font>
      <sz val="9"/>
      <color rgb="FF5B4000"/>
      <name val="WPS灵秀黑"/>
      <charset val="134"/>
    </font>
    <font>
      <sz val="9"/>
      <color rgb="FF370002"/>
      <name val="WPS灵秀黑"/>
      <charset val="134"/>
    </font>
    <font>
      <sz val="9"/>
      <color rgb="FF001333"/>
      <name val="WPS灵秀黑"/>
      <charset val="134"/>
    </font>
    <font>
      <i/>
      <sz val="9"/>
      <name val="WPS灵秀黑"/>
      <charset val="134"/>
    </font>
    <font>
      <sz val="9"/>
      <color rgb="FF001D44"/>
      <name val="WPS灵秀黑"/>
      <charset val="134"/>
    </font>
    <font>
      <sz val="11"/>
      <name val="宋体"/>
      <charset val="134"/>
      <scheme val="minor"/>
    </font>
    <font>
      <sz val="12"/>
      <name val="SimSun"/>
      <charset val="134"/>
    </font>
    <font>
      <sz val="12"/>
      <name val="楷体"/>
      <charset val="134"/>
    </font>
    <font>
      <sz val="12"/>
      <name val="楷体"/>
      <charset val="204"/>
    </font>
    <font>
      <sz val="11"/>
      <color theme="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0" tint="-0.15"/>
      <name val="宋体"/>
      <charset val="134"/>
      <scheme val="minor"/>
    </font>
    <font>
      <b/>
      <sz val="10"/>
      <color rgb="FFFFC00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0" tint="-0.05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color rgb="FFB80000"/>
      <name val="SimSun"/>
      <charset val="134"/>
    </font>
    <font>
      <sz val="9"/>
      <color rgb="FF00AF52"/>
      <name val="SimSun"/>
      <charset val="134"/>
    </font>
    <font>
      <sz val="9"/>
      <color theme="1"/>
      <name val="宋体"/>
      <charset val="134"/>
      <scheme val="minor"/>
    </font>
    <font>
      <sz val="9"/>
      <color rgb="FF00AF52"/>
      <name val="宋体"/>
      <charset val="134"/>
    </font>
    <font>
      <sz val="9"/>
      <color rgb="FF00A6E3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89">
    <fill>
      <patternFill patternType="none"/>
    </fill>
    <fill>
      <patternFill patternType="gray125"/>
    </fill>
    <fill>
      <patternFill patternType="solid">
        <fgColor rgb="FFFEBF00"/>
        <bgColor indexed="64"/>
      </patternFill>
    </fill>
    <fill>
      <patternFill patternType="solid">
        <fgColor rgb="FFFDBF00"/>
        <bgColor indexed="64"/>
      </patternFill>
    </fill>
    <fill>
      <patternFill patternType="solid">
        <fgColor rgb="FFFDBF02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D99693"/>
        <bgColor indexed="64"/>
      </patternFill>
    </fill>
    <fill>
      <patternFill patternType="solid">
        <fgColor rgb="FF8DB3E1"/>
        <bgColor indexed="64"/>
      </patternFill>
    </fill>
    <fill>
      <patternFill patternType="solid">
        <fgColor rgb="FF8CB3E1"/>
        <bgColor indexed="64"/>
      </patternFill>
    </fill>
    <fill>
      <patternFill patternType="solid">
        <fgColor rgb="FF8CB4E1"/>
        <bgColor indexed="64"/>
      </patternFill>
    </fill>
    <fill>
      <patternFill patternType="solid">
        <fgColor rgb="FF8DB3E0"/>
        <bgColor indexed="64"/>
      </patternFill>
    </fill>
    <fill>
      <patternFill patternType="solid">
        <fgColor rgb="FF8DB2DF"/>
        <bgColor indexed="64"/>
      </patternFill>
    </fill>
    <fill>
      <patternFill patternType="solid">
        <fgColor rgb="FF8CB2E1"/>
        <bgColor indexed="64"/>
      </patternFill>
    </fill>
    <fill>
      <patternFill patternType="solid">
        <fgColor rgb="FFB09FC7"/>
        <bgColor indexed="64"/>
      </patternFill>
    </fill>
    <fill>
      <patternFill patternType="solid">
        <fgColor rgb="FFAF9FC5"/>
        <bgColor indexed="64"/>
      </patternFill>
    </fill>
    <fill>
      <patternFill patternType="solid">
        <fgColor rgb="FFB0A0C7"/>
        <bgColor indexed="64"/>
      </patternFill>
    </fill>
    <fill>
      <patternFill patternType="solid">
        <fgColor rgb="FFB09FC8"/>
        <bgColor indexed="64"/>
      </patternFill>
    </fill>
    <fill>
      <patternFill patternType="solid">
        <fgColor rgb="FFFDCB2A"/>
        <bgColor indexed="64"/>
      </patternFill>
    </fill>
    <fill>
      <patternFill patternType="solid">
        <fgColor rgb="FFFCCB2B"/>
        <bgColor indexed="64"/>
      </patternFill>
    </fill>
    <fill>
      <patternFill patternType="solid">
        <fgColor rgb="FFFCCB29"/>
        <bgColor indexed="64"/>
      </patternFill>
    </fill>
    <fill>
      <patternFill patternType="solid">
        <fgColor rgb="FFFCCC2B"/>
        <bgColor indexed="64"/>
      </patternFill>
    </fill>
    <fill>
      <patternFill patternType="solid">
        <fgColor rgb="FFFCCB2A"/>
        <bgColor indexed="64"/>
      </patternFill>
    </fill>
    <fill>
      <patternFill patternType="solid">
        <fgColor rgb="FFD89693"/>
        <bgColor indexed="64"/>
      </patternFill>
    </fill>
    <fill>
      <patternFill patternType="solid">
        <fgColor rgb="FF8CB3E0"/>
        <bgColor indexed="64"/>
      </patternFill>
    </fill>
    <fill>
      <patternFill patternType="solid">
        <fgColor rgb="FF8DB4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2AEEE"/>
        <bgColor indexed="64"/>
      </patternFill>
    </fill>
    <fill>
      <patternFill patternType="solid">
        <fgColor rgb="FF01AFEE"/>
        <bgColor indexed="64"/>
      </patternFill>
    </fill>
    <fill>
      <patternFill patternType="solid">
        <fgColor rgb="FF00AFE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37"/>
        <bgColor indexed="64"/>
      </patternFill>
    </fill>
    <fill>
      <patternFill patternType="solid">
        <fgColor rgb="FF0044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A6B7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59" borderId="7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8" applyNumberFormat="0" applyFill="0" applyAlignment="0" applyProtection="0">
      <alignment vertical="center"/>
    </xf>
    <xf numFmtId="0" fontId="64" fillId="0" borderId="9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60" borderId="10" applyNumberFormat="0" applyAlignment="0" applyProtection="0">
      <alignment vertical="center"/>
    </xf>
    <xf numFmtId="0" fontId="66" fillId="61" borderId="11" applyNumberFormat="0" applyAlignment="0" applyProtection="0">
      <alignment vertical="center"/>
    </xf>
    <xf numFmtId="0" fontId="67" fillId="61" borderId="10" applyNumberFormat="0" applyAlignment="0" applyProtection="0">
      <alignment vertical="center"/>
    </xf>
    <xf numFmtId="0" fontId="68" fillId="62" borderId="12" applyNumberFormat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4" fillId="66" borderId="0" applyNumberFormat="0" applyBorder="0" applyAlignment="0" applyProtection="0">
      <alignment vertical="center"/>
    </xf>
    <xf numFmtId="0" fontId="75" fillId="67" borderId="0" applyNumberFormat="0" applyBorder="0" applyAlignment="0" applyProtection="0">
      <alignment vertical="center"/>
    </xf>
    <xf numFmtId="0" fontId="75" fillId="68" borderId="0" applyNumberFormat="0" applyBorder="0" applyAlignment="0" applyProtection="0">
      <alignment vertical="center"/>
    </xf>
    <xf numFmtId="0" fontId="74" fillId="69" borderId="0" applyNumberFormat="0" applyBorder="0" applyAlignment="0" applyProtection="0">
      <alignment vertical="center"/>
    </xf>
    <xf numFmtId="0" fontId="74" fillId="70" borderId="0" applyNumberFormat="0" applyBorder="0" applyAlignment="0" applyProtection="0">
      <alignment vertical="center"/>
    </xf>
    <xf numFmtId="0" fontId="75" fillId="71" borderId="0" applyNumberFormat="0" applyBorder="0" applyAlignment="0" applyProtection="0">
      <alignment vertical="center"/>
    </xf>
    <xf numFmtId="0" fontId="75" fillId="72" borderId="0" applyNumberFormat="0" applyBorder="0" applyAlignment="0" applyProtection="0">
      <alignment vertical="center"/>
    </xf>
    <xf numFmtId="0" fontId="74" fillId="73" borderId="0" applyNumberFormat="0" applyBorder="0" applyAlignment="0" applyProtection="0">
      <alignment vertical="center"/>
    </xf>
    <xf numFmtId="0" fontId="74" fillId="74" borderId="0" applyNumberFormat="0" applyBorder="0" applyAlignment="0" applyProtection="0">
      <alignment vertical="center"/>
    </xf>
    <xf numFmtId="0" fontId="75" fillId="75" borderId="0" applyNumberFormat="0" applyBorder="0" applyAlignment="0" applyProtection="0">
      <alignment vertical="center"/>
    </xf>
    <xf numFmtId="0" fontId="75" fillId="76" borderId="0" applyNumberFormat="0" applyBorder="0" applyAlignment="0" applyProtection="0">
      <alignment vertical="center"/>
    </xf>
    <xf numFmtId="0" fontId="74" fillId="77" borderId="0" applyNumberFormat="0" applyBorder="0" applyAlignment="0" applyProtection="0">
      <alignment vertical="center"/>
    </xf>
    <xf numFmtId="0" fontId="74" fillId="78" borderId="0" applyNumberFormat="0" applyBorder="0" applyAlignment="0" applyProtection="0">
      <alignment vertical="center"/>
    </xf>
    <xf numFmtId="0" fontId="75" fillId="79" borderId="0" applyNumberFormat="0" applyBorder="0" applyAlignment="0" applyProtection="0">
      <alignment vertical="center"/>
    </xf>
    <xf numFmtId="0" fontId="75" fillId="80" borderId="0" applyNumberFormat="0" applyBorder="0" applyAlignment="0" applyProtection="0">
      <alignment vertical="center"/>
    </xf>
    <xf numFmtId="0" fontId="74" fillId="81" borderId="0" applyNumberFormat="0" applyBorder="0" applyAlignment="0" applyProtection="0">
      <alignment vertical="center"/>
    </xf>
    <xf numFmtId="0" fontId="74" fillId="56" borderId="0" applyNumberFormat="0" applyBorder="0" applyAlignment="0" applyProtection="0">
      <alignment vertical="center"/>
    </xf>
    <xf numFmtId="0" fontId="75" fillId="82" borderId="0" applyNumberFormat="0" applyBorder="0" applyAlignment="0" applyProtection="0">
      <alignment vertical="center"/>
    </xf>
    <xf numFmtId="0" fontId="75" fillId="83" borderId="0" applyNumberFormat="0" applyBorder="0" applyAlignment="0" applyProtection="0">
      <alignment vertical="center"/>
    </xf>
    <xf numFmtId="0" fontId="74" fillId="84" borderId="0" applyNumberFormat="0" applyBorder="0" applyAlignment="0" applyProtection="0">
      <alignment vertical="center"/>
    </xf>
    <xf numFmtId="0" fontId="74" fillId="85" borderId="0" applyNumberFormat="0" applyBorder="0" applyAlignment="0" applyProtection="0">
      <alignment vertical="center"/>
    </xf>
    <xf numFmtId="0" fontId="75" fillId="86" borderId="0" applyNumberFormat="0" applyBorder="0" applyAlignment="0" applyProtection="0">
      <alignment vertical="center"/>
    </xf>
    <xf numFmtId="0" fontId="75" fillId="87" borderId="0" applyNumberFormat="0" applyBorder="0" applyAlignment="0" applyProtection="0">
      <alignment vertical="center"/>
    </xf>
    <xf numFmtId="0" fontId="74" fillId="88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vertical="top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14" fillId="5" borderId="1" xfId="0" applyNumberFormat="1" applyFont="1" applyFill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horizontal="center" vertical="center" wrapText="1"/>
    </xf>
    <xf numFmtId="0" fontId="11" fillId="5" borderId="1" xfId="0" applyNumberFormat="1" applyFont="1" applyFill="1" applyBorder="1" applyAlignment="1">
      <alignment horizontal="center" vertical="center" wrapText="1"/>
    </xf>
    <xf numFmtId="0" fontId="12" fillId="5" borderId="1" xfId="0" applyNumberFormat="1" applyFont="1" applyFill="1" applyBorder="1" applyAlignment="1">
      <alignment horizontal="center" vertical="center" wrapText="1"/>
    </xf>
    <xf numFmtId="0" fontId="15" fillId="7" borderId="1" xfId="0" applyNumberFormat="1" applyFont="1" applyFill="1" applyBorder="1" applyAlignment="1">
      <alignment horizontal="center" vertical="center" wrapText="1"/>
    </xf>
    <xf numFmtId="0" fontId="12" fillId="8" borderId="1" xfId="0" applyNumberFormat="1" applyFont="1" applyFill="1" applyBorder="1" applyAlignment="1">
      <alignment horizontal="center" vertical="center" wrapText="1"/>
    </xf>
    <xf numFmtId="0" fontId="11" fillId="7" borderId="1" xfId="0" applyNumberFormat="1" applyFont="1" applyFill="1" applyBorder="1" applyAlignment="1">
      <alignment horizontal="center" vertical="center" wrapText="1"/>
    </xf>
    <xf numFmtId="0" fontId="12" fillId="9" borderId="1" xfId="0" applyNumberFormat="1" applyFont="1" applyFill="1" applyBorder="1" applyAlignment="1">
      <alignment horizontal="center" vertical="center" wrapText="1"/>
    </xf>
    <xf numFmtId="0" fontId="12" fillId="1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2" fillId="11" borderId="1" xfId="0" applyNumberFormat="1" applyFont="1" applyFill="1" applyBorder="1" applyAlignment="1">
      <alignment horizontal="center" vertical="center" wrapText="1"/>
    </xf>
    <xf numFmtId="0" fontId="9" fillId="12" borderId="1" xfId="0" applyNumberFormat="1" applyFont="1" applyFill="1" applyBorder="1" applyAlignment="1">
      <alignment horizontal="center" vertical="center" wrapText="1"/>
    </xf>
    <xf numFmtId="0" fontId="16" fillId="13" borderId="1" xfId="0" applyNumberFormat="1" applyFont="1" applyFill="1" applyBorder="1" applyAlignment="1">
      <alignment horizontal="center" vertical="center" wrapText="1"/>
    </xf>
    <xf numFmtId="0" fontId="12" fillId="13" borderId="1" xfId="0" applyNumberFormat="1" applyFont="1" applyFill="1" applyBorder="1" applyAlignment="1">
      <alignment horizontal="center" vertical="center" wrapText="1"/>
    </xf>
    <xf numFmtId="0" fontId="11" fillId="13" borderId="1" xfId="0" applyNumberFormat="1" applyFont="1" applyFill="1" applyBorder="1" applyAlignment="1">
      <alignment horizontal="center" vertical="center" wrapText="1"/>
    </xf>
    <xf numFmtId="0" fontId="12" fillId="14" borderId="1" xfId="0" applyNumberFormat="1" applyFont="1" applyFill="1" applyBorder="1" applyAlignment="1">
      <alignment horizontal="center" vertical="center" wrapText="1"/>
    </xf>
    <xf numFmtId="0" fontId="12" fillId="15" borderId="1" xfId="0" applyNumberFormat="1" applyFont="1" applyFill="1" applyBorder="1" applyAlignment="1">
      <alignment horizontal="center" vertical="center" wrapText="1"/>
    </xf>
    <xf numFmtId="0" fontId="12" fillId="16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17" borderId="1" xfId="0" applyNumberFormat="1" applyFont="1" applyFill="1" applyBorder="1" applyAlignment="1">
      <alignment horizontal="center" vertical="center" wrapText="1"/>
    </xf>
    <xf numFmtId="0" fontId="26" fillId="18" borderId="1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left" vertical="top" wrapText="1"/>
    </xf>
    <xf numFmtId="0" fontId="29" fillId="17" borderId="1" xfId="0" applyNumberFormat="1" applyFont="1" applyFill="1" applyBorder="1" applyAlignment="1">
      <alignment horizontal="center" vertical="center" wrapText="1"/>
    </xf>
    <xf numFmtId="0" fontId="30" fillId="19" borderId="1" xfId="0" applyNumberFormat="1" applyFont="1" applyFill="1" applyBorder="1" applyAlignment="1">
      <alignment horizontal="center" vertical="center" wrapText="1"/>
    </xf>
    <xf numFmtId="0" fontId="31" fillId="20" borderId="1" xfId="0" applyNumberFormat="1" applyFont="1" applyFill="1" applyBorder="1" applyAlignment="1">
      <alignment horizontal="center" vertical="center" wrapText="1"/>
    </xf>
    <xf numFmtId="0" fontId="32" fillId="21" borderId="1" xfId="0" applyNumberFormat="1" applyFont="1" applyFill="1" applyBorder="1" applyAlignment="1">
      <alignment horizontal="center" vertical="center" wrapText="1"/>
    </xf>
    <xf numFmtId="0" fontId="33" fillId="21" borderId="1" xfId="0" applyNumberFormat="1" applyFont="1" applyFill="1" applyBorder="1" applyAlignment="1">
      <alignment horizontal="center" vertical="center" wrapText="1"/>
    </xf>
    <xf numFmtId="0" fontId="34" fillId="18" borderId="1" xfId="0" applyNumberFormat="1" applyFont="1" applyFill="1" applyBorder="1" applyAlignment="1">
      <alignment horizontal="center" vertical="center" wrapText="1"/>
    </xf>
    <xf numFmtId="0" fontId="35" fillId="22" borderId="1" xfId="0" applyNumberFormat="1" applyFont="1" applyFill="1" applyBorder="1" applyAlignment="1">
      <alignment horizontal="center" vertical="center" wrapText="1"/>
    </xf>
    <xf numFmtId="0" fontId="21" fillId="5" borderId="1" xfId="0" applyNumberFormat="1" applyFont="1" applyFill="1" applyBorder="1" applyAlignment="1">
      <alignment horizontal="center" vertical="center" wrapText="1"/>
    </xf>
    <xf numFmtId="0" fontId="36" fillId="23" borderId="1" xfId="0" applyNumberFormat="1" applyFont="1" applyFill="1" applyBorder="1" applyAlignment="1">
      <alignment horizontal="center" vertical="center" wrapText="1"/>
    </xf>
    <xf numFmtId="0" fontId="37" fillId="24" borderId="1" xfId="0" applyNumberFormat="1" applyFont="1" applyFill="1" applyBorder="1" applyAlignment="1">
      <alignment horizontal="center" vertical="center" wrapText="1"/>
    </xf>
    <xf numFmtId="0" fontId="29" fillId="23" borderId="1" xfId="0" applyNumberFormat="1" applyFont="1" applyFill="1" applyBorder="1" applyAlignment="1">
      <alignment horizontal="center" vertical="center" wrapText="1"/>
    </xf>
    <xf numFmtId="0" fontId="21" fillId="23" borderId="1" xfId="0" applyNumberFormat="1" applyFont="1" applyFill="1" applyBorder="1" applyAlignment="1">
      <alignment horizontal="center" vertical="center" wrapText="1"/>
    </xf>
    <xf numFmtId="0" fontId="38" fillId="10" borderId="1" xfId="0" applyNumberFormat="1" applyFont="1" applyFill="1" applyBorder="1" applyAlignment="1">
      <alignment horizontal="center" vertical="center" wrapText="1"/>
    </xf>
    <xf numFmtId="0" fontId="39" fillId="25" borderId="2" xfId="0" applyFont="1" applyFill="1" applyBorder="1" applyAlignment="1">
      <alignment horizontal="center" vertical="center"/>
    </xf>
    <xf numFmtId="0" fontId="40" fillId="26" borderId="1" xfId="0" applyNumberFormat="1" applyFont="1" applyFill="1" applyBorder="1" applyAlignment="1">
      <alignment horizontal="left" vertical="center" wrapText="1"/>
    </xf>
    <xf numFmtId="0" fontId="41" fillId="0" borderId="3" xfId="0" applyNumberFormat="1" applyFont="1" applyFill="1" applyBorder="1" applyAlignment="1">
      <alignment horizontal="center" vertical="center" wrapText="1"/>
    </xf>
    <xf numFmtId="0" fontId="41" fillId="0" borderId="4" xfId="0" applyNumberFormat="1" applyFont="1" applyFill="1" applyBorder="1" applyAlignment="1">
      <alignment horizontal="center" vertical="center" wrapText="1"/>
    </xf>
    <xf numFmtId="0" fontId="41" fillId="0" borderId="5" xfId="0" applyNumberFormat="1" applyFont="1" applyFill="1" applyBorder="1" applyAlignment="1">
      <alignment horizontal="center" vertical="center" wrapText="1"/>
    </xf>
    <xf numFmtId="0" fontId="40" fillId="27" borderId="1" xfId="0" applyNumberFormat="1" applyFont="1" applyFill="1" applyBorder="1" applyAlignment="1">
      <alignment horizontal="left" vertical="center" wrapText="1"/>
    </xf>
    <xf numFmtId="0" fontId="41" fillId="0" borderId="1" xfId="0" applyNumberFormat="1" applyFont="1" applyFill="1" applyBorder="1" applyAlignment="1">
      <alignment horizontal="center" vertical="center" wrapText="1"/>
    </xf>
    <xf numFmtId="0" fontId="40" fillId="28" borderId="1" xfId="0" applyNumberFormat="1" applyFont="1" applyFill="1" applyBorder="1" applyAlignment="1">
      <alignment horizontal="left" vertical="center" wrapText="1"/>
    </xf>
    <xf numFmtId="0" fontId="42" fillId="0" borderId="1" xfId="0" applyNumberFormat="1" applyFont="1" applyFill="1" applyBorder="1" applyAlignment="1">
      <alignment horizontal="left" vertical="top" wrapText="1"/>
    </xf>
    <xf numFmtId="0" fontId="0" fillId="29" borderId="0" xfId="0" applyFill="1" applyAlignment="1">
      <alignment horizontal="center" vertical="center"/>
    </xf>
    <xf numFmtId="0" fontId="0" fillId="29" borderId="0" xfId="0" applyFill="1">
      <alignment vertical="center"/>
    </xf>
    <xf numFmtId="0" fontId="0" fillId="30" borderId="0" xfId="0" applyFill="1" applyAlignment="1">
      <alignment horizontal="center" vertical="center"/>
    </xf>
    <xf numFmtId="0" fontId="0" fillId="30" borderId="0" xfId="0" applyFill="1">
      <alignment vertical="center"/>
    </xf>
    <xf numFmtId="0" fontId="0" fillId="31" borderId="0" xfId="0" applyFill="1" applyAlignment="1">
      <alignment horizontal="center" vertical="center"/>
    </xf>
    <xf numFmtId="0" fontId="0" fillId="31" borderId="0" xfId="0" applyFill="1">
      <alignment vertical="center"/>
    </xf>
    <xf numFmtId="0" fontId="0" fillId="32" borderId="0" xfId="0" applyFill="1" applyAlignment="1">
      <alignment horizontal="center" vertical="center"/>
    </xf>
    <xf numFmtId="0" fontId="0" fillId="32" borderId="0" xfId="0" applyFill="1">
      <alignment vertical="center"/>
    </xf>
    <xf numFmtId="0" fontId="0" fillId="33" borderId="0" xfId="0" applyFill="1" applyAlignment="1">
      <alignment horizontal="center"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0" fontId="43" fillId="34" borderId="0" xfId="0" applyFont="1" applyFill="1" applyAlignment="1">
      <alignment horizontal="center" vertical="center" wrapText="1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43" fillId="37" borderId="0" xfId="0" applyFont="1" applyFill="1" applyAlignment="1">
      <alignment horizontal="center" vertical="center" wrapText="1"/>
    </xf>
    <xf numFmtId="0" fontId="0" fillId="38" borderId="0" xfId="0" applyFill="1">
      <alignment vertical="center"/>
    </xf>
    <xf numFmtId="0" fontId="43" fillId="37" borderId="0" xfId="0" applyFont="1" applyFill="1" applyAlignment="1">
      <alignment horizontal="center" vertical="center"/>
    </xf>
    <xf numFmtId="0" fontId="39" fillId="39" borderId="0" xfId="0" applyFont="1" applyFill="1" applyAlignment="1">
      <alignment horizontal="center" vertical="center" wrapText="1"/>
    </xf>
    <xf numFmtId="0" fontId="39" fillId="39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44" fillId="40" borderId="0" xfId="0" applyFont="1" applyFill="1" applyAlignment="1">
      <alignment horizontal="center" vertical="center" wrapText="1"/>
    </xf>
    <xf numFmtId="0" fontId="0" fillId="41" borderId="0" xfId="0" applyFill="1">
      <alignment vertical="center"/>
    </xf>
    <xf numFmtId="0" fontId="0" fillId="42" borderId="0" xfId="0" applyFill="1">
      <alignment vertical="center"/>
    </xf>
    <xf numFmtId="0" fontId="39" fillId="42" borderId="0" xfId="0" applyFont="1" applyFill="1">
      <alignment vertical="center"/>
    </xf>
    <xf numFmtId="0" fontId="44" fillId="43" borderId="0" xfId="0" applyFont="1" applyFill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0" fillId="44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4" fillId="45" borderId="0" xfId="0" applyFont="1" applyFill="1">
      <alignment vertical="center"/>
    </xf>
    <xf numFmtId="0" fontId="0" fillId="46" borderId="0" xfId="0" applyFill="1" applyAlignment="1">
      <alignment horizontal="center" vertical="center" wrapText="1"/>
    </xf>
    <xf numFmtId="0" fontId="0" fillId="47" borderId="0" xfId="0" applyFill="1">
      <alignment vertical="center"/>
    </xf>
    <xf numFmtId="0" fontId="0" fillId="48" borderId="0" xfId="0" applyFill="1">
      <alignment vertical="center"/>
    </xf>
    <xf numFmtId="176" fontId="0" fillId="0" borderId="0" xfId="0" applyNumberFormat="1" applyFill="1">
      <alignment vertical="center"/>
    </xf>
    <xf numFmtId="0" fontId="44" fillId="49" borderId="0" xfId="0" applyFont="1" applyFill="1">
      <alignment vertical="center"/>
    </xf>
    <xf numFmtId="0" fontId="0" fillId="50" borderId="0" xfId="0" applyFill="1">
      <alignment vertical="center"/>
    </xf>
    <xf numFmtId="0" fontId="0" fillId="46" borderId="0" xfId="0" applyFill="1">
      <alignment vertical="center"/>
    </xf>
    <xf numFmtId="0" fontId="0" fillId="51" borderId="0" xfId="0" applyFill="1">
      <alignment vertical="center"/>
    </xf>
    <xf numFmtId="0" fontId="0" fillId="52" borderId="0" xfId="0" applyFill="1">
      <alignment vertical="center"/>
    </xf>
    <xf numFmtId="0" fontId="39" fillId="52" borderId="0" xfId="0" applyFont="1" applyFill="1">
      <alignment vertical="center"/>
    </xf>
    <xf numFmtId="0" fontId="39" fillId="0" borderId="0" xfId="0" applyFont="1" applyFill="1" applyAlignment="1">
      <alignment horizontal="left" vertical="center"/>
    </xf>
    <xf numFmtId="0" fontId="39" fillId="53" borderId="0" xfId="0" applyFont="1" applyFill="1">
      <alignment vertical="center"/>
    </xf>
    <xf numFmtId="0" fontId="0" fillId="48" borderId="0" xfId="0" applyFill="1" applyAlignment="1">
      <alignment horizontal="center" vertical="center" wrapText="1"/>
    </xf>
    <xf numFmtId="0" fontId="0" fillId="48" borderId="0" xfId="0" applyFill="1" applyAlignment="1">
      <alignment horizontal="center" vertical="center"/>
    </xf>
    <xf numFmtId="0" fontId="0" fillId="53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44" borderId="0" xfId="0" applyFill="1">
      <alignment vertical="center"/>
    </xf>
    <xf numFmtId="0" fontId="44" fillId="43" borderId="0" xfId="0" applyFont="1" applyFill="1" applyAlignment="1">
      <alignment horizontal="center" vertical="center"/>
    </xf>
    <xf numFmtId="0" fontId="39" fillId="44" borderId="0" xfId="0" applyFont="1" applyFill="1" applyAlignment="1">
      <alignment horizontal="center" vertical="center" wrapText="1"/>
    </xf>
    <xf numFmtId="0" fontId="39" fillId="44" borderId="0" xfId="0" applyFont="1" applyFill="1" applyAlignment="1">
      <alignment horizontal="center" vertical="center"/>
    </xf>
    <xf numFmtId="0" fontId="45" fillId="54" borderId="0" xfId="0" applyFont="1" applyFill="1">
      <alignment vertical="center"/>
    </xf>
    <xf numFmtId="0" fontId="45" fillId="55" borderId="0" xfId="0" applyFont="1" applyFill="1">
      <alignment vertical="center"/>
    </xf>
    <xf numFmtId="0" fontId="0" fillId="56" borderId="0" xfId="0" applyFill="1">
      <alignment vertical="center"/>
    </xf>
    <xf numFmtId="0" fontId="0" fillId="39" borderId="0" xfId="0" applyFill="1" applyAlignment="1">
      <alignment horizontal="center" vertical="center" wrapText="1"/>
    </xf>
    <xf numFmtId="0" fontId="46" fillId="45" borderId="0" xfId="0" applyFont="1" applyFill="1" applyAlignment="1">
      <alignment horizontal="center" vertical="center" wrapText="1"/>
    </xf>
    <xf numFmtId="0" fontId="46" fillId="49" borderId="0" xfId="0" applyFont="1" applyFill="1" applyAlignment="1">
      <alignment horizontal="center" vertical="center" wrapText="1"/>
    </xf>
    <xf numFmtId="0" fontId="47" fillId="50" borderId="0" xfId="0" applyFont="1" applyFill="1" applyAlignment="1">
      <alignment horizontal="center" vertical="center" wrapText="1"/>
    </xf>
    <xf numFmtId="0" fontId="47" fillId="51" borderId="0" xfId="0" applyFont="1" applyFill="1" applyAlignment="1">
      <alignment horizontal="center" vertical="center" wrapText="1"/>
    </xf>
    <xf numFmtId="0" fontId="39" fillId="57" borderId="0" xfId="0" applyFont="1" applyFill="1" applyAlignment="1">
      <alignment horizontal="center" vertical="center" wrapText="1"/>
    </xf>
    <xf numFmtId="0" fontId="44" fillId="45" borderId="0" xfId="0" applyFont="1" applyFill="1" applyAlignment="1">
      <alignment horizontal="center" vertical="center"/>
    </xf>
    <xf numFmtId="0" fontId="44" fillId="49" borderId="0" xfId="0" applyFont="1" applyFill="1" applyAlignment="1">
      <alignment horizontal="center" vertical="center"/>
    </xf>
    <xf numFmtId="0" fontId="39" fillId="50" borderId="0" xfId="0" applyFont="1" applyFill="1" applyAlignment="1">
      <alignment horizontal="center" vertical="center"/>
    </xf>
    <xf numFmtId="0" fontId="39" fillId="51" borderId="0" xfId="0" applyFont="1" applyFill="1" applyAlignment="1">
      <alignment horizontal="center" vertical="center"/>
    </xf>
    <xf numFmtId="0" fontId="39" fillId="52" borderId="0" xfId="0" applyFont="1" applyFill="1" applyAlignment="1">
      <alignment horizontal="center" vertical="center"/>
    </xf>
    <xf numFmtId="0" fontId="39" fillId="53" borderId="0" xfId="0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0" fillId="52" borderId="0" xfId="0" applyFill="1" applyAlignment="1">
      <alignment horizontal="left" vertical="center"/>
    </xf>
    <xf numFmtId="0" fontId="39" fillId="52" borderId="0" xfId="0" applyFont="1" applyFill="1" applyAlignment="1">
      <alignment horizontal="left" vertical="center"/>
    </xf>
    <xf numFmtId="0" fontId="47" fillId="52" borderId="0" xfId="0" applyFont="1" applyFill="1" applyAlignment="1">
      <alignment horizontal="center" vertical="center" wrapText="1"/>
    </xf>
    <xf numFmtId="0" fontId="39" fillId="57" borderId="0" xfId="0" applyFont="1" applyFill="1" applyAlignment="1">
      <alignment horizontal="left" vertical="center"/>
    </xf>
    <xf numFmtId="0" fontId="39" fillId="57" borderId="0" xfId="0" applyFont="1" applyFill="1" applyAlignment="1">
      <alignment horizontal="right" vertical="center"/>
    </xf>
    <xf numFmtId="0" fontId="0" fillId="39" borderId="0" xfId="0" applyFill="1">
      <alignment vertical="center"/>
    </xf>
    <xf numFmtId="0" fontId="39" fillId="52" borderId="0" xfId="0" applyFont="1" applyFill="1" applyAlignment="1">
      <alignment horizontal="left" vertical="center" wrapText="1"/>
    </xf>
    <xf numFmtId="0" fontId="46" fillId="45" borderId="0" xfId="0" applyFont="1" applyFill="1" applyAlignment="1">
      <alignment horizontal="center" vertical="center"/>
    </xf>
    <xf numFmtId="0" fontId="46" fillId="49" borderId="0" xfId="0" applyFont="1" applyFill="1" applyAlignment="1">
      <alignment horizontal="center" vertical="center"/>
    </xf>
    <xf numFmtId="0" fontId="47" fillId="51" borderId="0" xfId="0" applyFont="1" applyFill="1" applyAlignment="1">
      <alignment horizontal="center" vertical="center"/>
    </xf>
    <xf numFmtId="0" fontId="47" fillId="5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9" fillId="0" borderId="0" xfId="0" applyFont="1" applyFill="1" applyAlignment="1">
      <alignment horizontal="left" vertical="center" wrapText="1"/>
    </xf>
    <xf numFmtId="0" fontId="39" fillId="47" borderId="0" xfId="0" applyFont="1" applyFill="1" applyAlignment="1">
      <alignment horizontal="left" vertical="center" wrapText="1"/>
    </xf>
    <xf numFmtId="0" fontId="0" fillId="47" borderId="0" xfId="0" applyFill="1" applyAlignment="1">
      <alignment horizontal="left" vertical="center"/>
    </xf>
    <xf numFmtId="0" fontId="44" fillId="45" borderId="0" xfId="0" applyFont="1" applyFill="1" applyAlignment="1">
      <alignment vertical="center"/>
    </xf>
    <xf numFmtId="0" fontId="39" fillId="42" borderId="0" xfId="0" applyFont="1" applyFill="1" applyAlignment="1">
      <alignment horizontal="left" vertical="center"/>
    </xf>
    <xf numFmtId="0" fontId="0" fillId="42" borderId="0" xfId="0" applyFill="1" applyAlignment="1">
      <alignment horizontal="left" vertical="center"/>
    </xf>
    <xf numFmtId="0" fontId="39" fillId="47" borderId="0" xfId="0" applyFont="1" applyFill="1" applyAlignment="1">
      <alignment horizontal="left" vertical="center"/>
    </xf>
    <xf numFmtId="0" fontId="45" fillId="58" borderId="0" xfId="0" applyFont="1" applyFill="1">
      <alignment vertical="center"/>
    </xf>
    <xf numFmtId="0" fontId="39" fillId="53" borderId="0" xfId="0" applyNumberFormat="1" applyFont="1" applyFill="1" applyAlignment="1">
      <alignment horizontal="center" vertical="center"/>
    </xf>
    <xf numFmtId="0" fontId="45" fillId="54" borderId="0" xfId="0" applyFont="1" applyFill="1" applyAlignment="1">
      <alignment horizontal="center" vertical="center"/>
    </xf>
    <xf numFmtId="0" fontId="45" fillId="55" borderId="0" xfId="0" applyFont="1" applyFill="1" applyAlignment="1">
      <alignment horizontal="center" vertical="center"/>
    </xf>
    <xf numFmtId="0" fontId="39" fillId="55" borderId="0" xfId="0" applyFont="1" applyFill="1" applyAlignment="1">
      <alignment horizontal="center" vertical="center"/>
    </xf>
    <xf numFmtId="0" fontId="39" fillId="54" borderId="0" xfId="0" applyFont="1" applyFill="1" applyAlignment="1">
      <alignment horizontal="center" vertical="center"/>
    </xf>
    <xf numFmtId="0" fontId="48" fillId="54" borderId="0" xfId="0" applyFont="1" applyFill="1" applyAlignment="1">
      <alignment horizontal="center" vertical="center"/>
    </xf>
    <xf numFmtId="0" fontId="48" fillId="55" borderId="0" xfId="0" applyFont="1" applyFill="1" applyAlignment="1">
      <alignment horizontal="center" vertical="center"/>
    </xf>
    <xf numFmtId="0" fontId="45" fillId="58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 wrapText="1"/>
    </xf>
    <xf numFmtId="0" fontId="51" fillId="42" borderId="6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52" fillId="29" borderId="6" xfId="0" applyFont="1" applyFill="1" applyBorder="1" applyAlignment="1">
      <alignment vertical="center"/>
    </xf>
    <xf numFmtId="0" fontId="53" fillId="0" borderId="6" xfId="0" applyFont="1" applyBorder="1" applyAlignment="1">
      <alignment vertical="top" wrapText="1"/>
    </xf>
    <xf numFmtId="0" fontId="54" fillId="0" borderId="6" xfId="0" applyFont="1" applyBorder="1">
      <alignment vertical="center"/>
    </xf>
    <xf numFmtId="0" fontId="52" fillId="0" borderId="6" xfId="0" applyFont="1" applyBorder="1" applyAlignment="1">
      <alignment vertical="top" wrapText="1"/>
    </xf>
    <xf numFmtId="0" fontId="52" fillId="29" borderId="6" xfId="0" applyFont="1" applyFill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/>
    </xf>
    <xf numFmtId="0" fontId="53" fillId="0" borderId="6" xfId="0" applyFont="1" applyBorder="1" applyAlignment="1">
      <alignment horizontal="left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35" borderId="6" xfId="0" applyFont="1" applyFill="1" applyBorder="1" applyAlignment="1">
      <alignment horizontal="center" vertical="center"/>
    </xf>
    <xf numFmtId="0" fontId="53" fillId="35" borderId="6" xfId="0" applyFont="1" applyFill="1" applyBorder="1" applyAlignment="1">
      <alignment horizontal="left" vertical="center" wrapText="1"/>
    </xf>
    <xf numFmtId="0" fontId="53" fillId="35" borderId="6" xfId="0" applyFont="1" applyFill="1" applyBorder="1" applyAlignment="1">
      <alignment horizontal="center" vertical="center" wrapText="1"/>
    </xf>
    <xf numFmtId="0" fontId="55" fillId="0" borderId="6" xfId="0" applyFont="1" applyBorder="1" applyAlignment="1">
      <alignment vertical="top" wrapText="1"/>
    </xf>
    <xf numFmtId="0" fontId="52" fillId="0" borderId="6" xfId="0" applyFont="1" applyBorder="1" applyAlignment="1">
      <alignment horizontal="left" vertical="center"/>
    </xf>
    <xf numFmtId="0" fontId="53" fillId="0" borderId="6" xfId="0" applyFont="1" applyBorder="1" applyAlignment="1">
      <alignment horizontal="left" vertical="center"/>
    </xf>
    <xf numFmtId="0" fontId="56" fillId="0" borderId="6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name val="宋体"/>
        <scheme val="none"/>
        <b val="0"/>
        <i val="0"/>
        <u val="none"/>
        <sz val="11"/>
        <color rgb="FFFFC000"/>
      </font>
      <fill>
        <patternFill patternType="solid">
          <bgColor rgb="FFFF0000"/>
        </patternFill>
      </fill>
    </dxf>
  </dxfs>
  <tableStyles count="1" defaultTableStyle="TableStyleMedium2" defaultPivotStyle="PivotStyleLight16">
    <tableStyle name="表样式 1" pivot="0" count="1" xr9:uid="{D8892BA7-21A5-438E-86FD-767A5BF367FC}">
      <tableStyleElement type="headerRow" dxfId="0"/>
    </tableStyle>
  </tableStyles>
  <colors>
    <mruColors>
      <color rgb="00EA6B7D"/>
      <color rgb="001D541F"/>
      <color rgb="00007037"/>
      <color rgb="0000443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B2:E73"/>
  <sheetViews>
    <sheetView showGridLines="0" tabSelected="1" workbookViewId="0">
      <selection activeCell="A3" sqref="A3"/>
    </sheetView>
  </sheetViews>
  <sheetFormatPr defaultColWidth="9" defaultRowHeight="14.4" outlineLevelCol="4"/>
  <cols>
    <col min="2" max="2" width="11.8888888888889" customWidth="1"/>
    <col min="3" max="3" width="20" customWidth="1"/>
    <col min="4" max="4" width="60.5555555555556" customWidth="1"/>
    <col min="5" max="5" width="45.4444444444444" customWidth="1"/>
  </cols>
  <sheetData>
    <row r="2" ht="30" customHeight="1" spans="2:5">
      <c r="B2" s="166" t="s">
        <v>0</v>
      </c>
      <c r="C2" s="167"/>
      <c r="D2" s="167"/>
      <c r="E2" s="167"/>
    </row>
    <row r="3" ht="33" customHeight="1" spans="2:5">
      <c r="B3" s="168" t="s">
        <v>1</v>
      </c>
      <c r="C3" s="167"/>
      <c r="D3" s="167"/>
      <c r="E3" s="167"/>
    </row>
    <row r="4" ht="22" customHeight="1" spans="2:5">
      <c r="B4" s="169" t="s">
        <v>2</v>
      </c>
      <c r="C4" s="169"/>
      <c r="D4" s="169"/>
      <c r="E4" s="169"/>
    </row>
    <row r="5" spans="2:5">
      <c r="B5" s="170"/>
      <c r="C5" s="170"/>
      <c r="D5" s="170"/>
      <c r="E5" s="170"/>
    </row>
    <row r="6" spans="2:5">
      <c r="B6" s="171" t="s">
        <v>3</v>
      </c>
      <c r="C6" s="171"/>
      <c r="D6" s="171"/>
      <c r="E6" s="171"/>
    </row>
    <row r="7" spans="2:5">
      <c r="B7" s="172" t="s">
        <v>4</v>
      </c>
      <c r="C7" s="173"/>
      <c r="D7" s="173"/>
      <c r="E7" s="173"/>
    </row>
    <row r="8" spans="2:5">
      <c r="B8" s="172" t="s">
        <v>5</v>
      </c>
      <c r="C8" s="173"/>
      <c r="D8" s="173"/>
      <c r="E8" s="173"/>
    </row>
    <row r="9" spans="2:5">
      <c r="B9" s="171" t="s">
        <v>6</v>
      </c>
      <c r="C9" s="171"/>
      <c r="D9" s="171"/>
      <c r="E9" s="171"/>
    </row>
    <row r="10" spans="2:5">
      <c r="B10" s="172" t="s">
        <v>7</v>
      </c>
      <c r="C10" s="173"/>
      <c r="D10" s="173"/>
      <c r="E10" s="173"/>
    </row>
    <row r="11" spans="2:5">
      <c r="B11" s="172" t="s">
        <v>8</v>
      </c>
      <c r="C11" s="173"/>
      <c r="D11" s="173"/>
      <c r="E11" s="173"/>
    </row>
    <row r="12" spans="2:5">
      <c r="B12" s="172" t="s">
        <v>9</v>
      </c>
      <c r="C12" s="173"/>
      <c r="D12" s="173"/>
      <c r="E12" s="173"/>
    </row>
    <row r="13" spans="2:5">
      <c r="B13" s="172" t="s">
        <v>10</v>
      </c>
      <c r="C13" s="173"/>
      <c r="D13" s="173"/>
      <c r="E13" s="173"/>
    </row>
    <row r="14" spans="2:5">
      <c r="B14" s="171" t="s">
        <v>11</v>
      </c>
      <c r="C14" s="171"/>
      <c r="D14" s="171"/>
      <c r="E14" s="171"/>
    </row>
    <row r="15" spans="2:5">
      <c r="B15" s="172" t="s">
        <v>12</v>
      </c>
      <c r="C15" s="173"/>
      <c r="D15" s="173"/>
      <c r="E15" s="173"/>
    </row>
    <row r="16" spans="2:5">
      <c r="B16" s="172" t="s">
        <v>13</v>
      </c>
      <c r="C16" s="173"/>
      <c r="D16" s="173"/>
      <c r="E16" s="173"/>
    </row>
    <row r="17" spans="2:5">
      <c r="B17" s="171" t="s">
        <v>14</v>
      </c>
      <c r="C17" s="171"/>
      <c r="D17" s="171"/>
      <c r="E17" s="171"/>
    </row>
    <row r="18" spans="2:5">
      <c r="B18" s="172" t="s">
        <v>15</v>
      </c>
      <c r="C18" s="173"/>
      <c r="D18" s="173"/>
      <c r="E18" s="173"/>
    </row>
    <row r="19" spans="2:5">
      <c r="B19" s="172" t="s">
        <v>16</v>
      </c>
      <c r="C19" s="173"/>
      <c r="D19" s="173"/>
      <c r="E19" s="173"/>
    </row>
    <row r="20" spans="2:5">
      <c r="B20" s="172" t="s">
        <v>17</v>
      </c>
      <c r="C20" s="173"/>
      <c r="D20" s="173"/>
      <c r="E20" s="173"/>
    </row>
    <row r="21" spans="2:5">
      <c r="B21" s="171" t="s">
        <v>18</v>
      </c>
      <c r="C21" s="171"/>
      <c r="D21" s="171"/>
      <c r="E21" s="171"/>
    </row>
    <row r="22" spans="2:5">
      <c r="B22" s="172" t="s">
        <v>19</v>
      </c>
      <c r="C22" s="173"/>
      <c r="D22" s="173"/>
      <c r="E22" s="173"/>
    </row>
    <row r="23" spans="2:5">
      <c r="B23" s="172" t="s">
        <v>20</v>
      </c>
      <c r="C23" s="173"/>
      <c r="D23" s="173"/>
      <c r="E23" s="173"/>
    </row>
    <row r="24" spans="2:5">
      <c r="B24" s="172" t="s">
        <v>21</v>
      </c>
      <c r="C24" s="173"/>
      <c r="D24" s="173"/>
      <c r="E24" s="173"/>
    </row>
    <row r="25" spans="2:5">
      <c r="B25" s="172" t="s">
        <v>22</v>
      </c>
      <c r="C25" s="173"/>
      <c r="D25" s="173"/>
      <c r="E25" s="173"/>
    </row>
    <row r="26" spans="2:5">
      <c r="B26" s="172" t="s">
        <v>23</v>
      </c>
      <c r="C26" s="173"/>
      <c r="D26" s="173"/>
      <c r="E26" s="173"/>
    </row>
    <row r="27" spans="2:5">
      <c r="B27" s="171" t="s">
        <v>24</v>
      </c>
      <c r="C27" s="171"/>
      <c r="D27" s="171"/>
      <c r="E27" s="171"/>
    </row>
    <row r="28" spans="2:5">
      <c r="B28" s="172" t="s">
        <v>25</v>
      </c>
      <c r="C28" s="173"/>
      <c r="D28" s="173"/>
      <c r="E28" s="173"/>
    </row>
    <row r="29" spans="2:5">
      <c r="B29" s="172" t="s">
        <v>26</v>
      </c>
      <c r="C29" s="173"/>
      <c r="D29" s="173"/>
      <c r="E29" s="173"/>
    </row>
    <row r="30" spans="2:5">
      <c r="B30" s="172" t="s">
        <v>27</v>
      </c>
      <c r="C30" s="173"/>
      <c r="D30" s="173"/>
      <c r="E30" s="173"/>
    </row>
    <row r="31" spans="2:5">
      <c r="B31" s="172" t="s">
        <v>28</v>
      </c>
      <c r="C31" s="173"/>
      <c r="D31" s="173"/>
      <c r="E31" s="173"/>
    </row>
    <row r="32" spans="2:5">
      <c r="B32" s="172" t="s">
        <v>29</v>
      </c>
      <c r="C32" s="173"/>
      <c r="D32" s="173"/>
      <c r="E32" s="173"/>
    </row>
    <row r="33" spans="2:5">
      <c r="B33" s="172" t="s">
        <v>30</v>
      </c>
      <c r="C33" s="173"/>
      <c r="D33" s="173"/>
      <c r="E33" s="173"/>
    </row>
    <row r="34" spans="2:5">
      <c r="B34" s="172" t="s">
        <v>31</v>
      </c>
      <c r="C34" s="173"/>
      <c r="D34" s="173"/>
      <c r="E34" s="173"/>
    </row>
    <row r="35" spans="2:5">
      <c r="B35" s="172" t="s">
        <v>32</v>
      </c>
      <c r="C35" s="173"/>
      <c r="D35" s="173"/>
      <c r="E35" s="173"/>
    </row>
    <row r="36" spans="2:5">
      <c r="B36" s="172" t="s">
        <v>33</v>
      </c>
      <c r="C36" s="173"/>
      <c r="D36" s="173"/>
      <c r="E36" s="173"/>
    </row>
    <row r="37" spans="2:5">
      <c r="B37" s="172" t="s">
        <v>34</v>
      </c>
      <c r="C37" s="173"/>
      <c r="D37" s="173"/>
      <c r="E37" s="173"/>
    </row>
    <row r="38" spans="2:5">
      <c r="B38" s="172" t="s">
        <v>35</v>
      </c>
      <c r="C38" s="173"/>
      <c r="D38" s="173"/>
      <c r="E38" s="173"/>
    </row>
    <row r="39" spans="2:5">
      <c r="B39" s="174" t="s">
        <v>36</v>
      </c>
      <c r="C39" s="173"/>
      <c r="D39" s="173"/>
      <c r="E39" s="173"/>
    </row>
    <row r="40" spans="2:5">
      <c r="B40" s="172" t="s">
        <v>37</v>
      </c>
      <c r="C40" s="173"/>
      <c r="D40" s="173"/>
      <c r="E40" s="173"/>
    </row>
    <row r="41" spans="2:5">
      <c r="B41" s="174" t="s">
        <v>38</v>
      </c>
      <c r="C41" s="173"/>
      <c r="D41" s="173"/>
      <c r="E41" s="173"/>
    </row>
    <row r="42" spans="2:5">
      <c r="B42" s="172" t="s">
        <v>39</v>
      </c>
      <c r="C42" s="173"/>
      <c r="D42" s="173"/>
      <c r="E42" s="173"/>
    </row>
    <row r="43" spans="2:5">
      <c r="B43" s="174" t="s">
        <v>40</v>
      </c>
      <c r="C43" s="173"/>
      <c r="D43" s="173"/>
      <c r="E43" s="173"/>
    </row>
    <row r="44" spans="2:5">
      <c r="B44" s="172" t="s">
        <v>41</v>
      </c>
      <c r="C44" s="173"/>
      <c r="D44" s="173"/>
      <c r="E44" s="173"/>
    </row>
    <row r="45" spans="2:5">
      <c r="B45" s="171" t="s">
        <v>42</v>
      </c>
      <c r="C45" s="171"/>
      <c r="D45" s="171"/>
      <c r="E45" s="171"/>
    </row>
    <row r="46" spans="2:5">
      <c r="B46" s="175" t="s">
        <v>43</v>
      </c>
      <c r="C46" s="175" t="s">
        <v>44</v>
      </c>
      <c r="D46" s="175" t="s">
        <v>45</v>
      </c>
      <c r="E46" s="175" t="s">
        <v>46</v>
      </c>
    </row>
    <row r="47" ht="21.6" spans="2:5">
      <c r="B47" s="176" t="s">
        <v>47</v>
      </c>
      <c r="C47" s="176" t="s">
        <v>48</v>
      </c>
      <c r="D47" s="177" t="s">
        <v>49</v>
      </c>
      <c r="E47" s="178" t="s">
        <v>50</v>
      </c>
    </row>
    <row r="48" spans="2:5">
      <c r="B48" s="179" t="s">
        <v>51</v>
      </c>
      <c r="C48" s="179" t="s">
        <v>52</v>
      </c>
      <c r="D48" s="180" t="s">
        <v>53</v>
      </c>
      <c r="E48" s="181" t="s">
        <v>50</v>
      </c>
    </row>
    <row r="49" spans="2:5">
      <c r="B49" s="176" t="s">
        <v>54</v>
      </c>
      <c r="C49" s="176" t="s">
        <v>55</v>
      </c>
      <c r="D49" s="177" t="s">
        <v>56</v>
      </c>
      <c r="E49" s="178" t="s">
        <v>50</v>
      </c>
    </row>
    <row r="50" spans="2:5">
      <c r="B50" s="179" t="s">
        <v>57</v>
      </c>
      <c r="C50" s="179" t="s">
        <v>58</v>
      </c>
      <c r="D50" s="180" t="s">
        <v>59</v>
      </c>
      <c r="E50" s="181" t="s">
        <v>50</v>
      </c>
    </row>
    <row r="51" spans="2:5">
      <c r="B51" s="176" t="s">
        <v>60</v>
      </c>
      <c r="C51" s="176" t="s">
        <v>61</v>
      </c>
      <c r="D51" s="177" t="s">
        <v>62</v>
      </c>
      <c r="E51" s="178" t="s">
        <v>50</v>
      </c>
    </row>
    <row r="52" ht="21.6" spans="2:5">
      <c r="B52" s="179" t="s">
        <v>63</v>
      </c>
      <c r="C52" s="179" t="s">
        <v>64</v>
      </c>
      <c r="D52" s="180" t="s">
        <v>65</v>
      </c>
      <c r="E52" s="181" t="s">
        <v>50</v>
      </c>
    </row>
    <row r="53" spans="2:5">
      <c r="B53" s="176" t="s">
        <v>66</v>
      </c>
      <c r="C53" s="176" t="s">
        <v>67</v>
      </c>
      <c r="D53" s="177" t="s">
        <v>68</v>
      </c>
      <c r="E53" s="178" t="s">
        <v>50</v>
      </c>
    </row>
    <row r="54" spans="2:5">
      <c r="B54" s="172" t="s">
        <v>69</v>
      </c>
      <c r="C54" s="173"/>
      <c r="D54" s="173"/>
      <c r="E54" s="173"/>
    </row>
    <row r="55" spans="2:5">
      <c r="B55" s="172" t="s">
        <v>70</v>
      </c>
      <c r="C55" s="173"/>
      <c r="D55" s="173"/>
      <c r="E55" s="173"/>
    </row>
    <row r="56" spans="2:5">
      <c r="B56" s="171" t="s">
        <v>71</v>
      </c>
      <c r="C56" s="171"/>
      <c r="D56" s="171"/>
      <c r="E56" s="171"/>
    </row>
    <row r="57" spans="2:5">
      <c r="B57" s="172" t="s">
        <v>72</v>
      </c>
      <c r="C57" s="173"/>
      <c r="D57" s="173"/>
      <c r="E57" s="173"/>
    </row>
    <row r="58" spans="2:5">
      <c r="B58" s="172" t="s">
        <v>73</v>
      </c>
      <c r="C58" s="173"/>
      <c r="D58" s="173"/>
      <c r="E58" s="173"/>
    </row>
    <row r="59" spans="2:5">
      <c r="B59" s="172" t="s">
        <v>74</v>
      </c>
      <c r="C59" s="173"/>
      <c r="D59" s="173"/>
      <c r="E59" s="173"/>
    </row>
    <row r="60" spans="2:5">
      <c r="B60" s="172" t="s">
        <v>75</v>
      </c>
      <c r="C60" s="173"/>
      <c r="D60" s="173"/>
      <c r="E60" s="173"/>
    </row>
    <row r="61" spans="2:5">
      <c r="B61" s="172" t="s">
        <v>76</v>
      </c>
      <c r="C61" s="173"/>
      <c r="D61" s="173"/>
      <c r="E61" s="173"/>
    </row>
    <row r="62" spans="2:5">
      <c r="B62" s="171" t="s">
        <v>77</v>
      </c>
      <c r="C62" s="171"/>
      <c r="D62" s="171"/>
      <c r="E62" s="171"/>
    </row>
    <row r="63" spans="2:5">
      <c r="B63" s="182" t="s">
        <v>78</v>
      </c>
      <c r="C63" s="173"/>
      <c r="D63" s="173"/>
      <c r="E63" s="173"/>
    </row>
    <row r="64" spans="2:5">
      <c r="B64" s="172" t="s">
        <v>79</v>
      </c>
      <c r="C64" s="173"/>
      <c r="D64" s="173"/>
      <c r="E64" s="173"/>
    </row>
    <row r="65" spans="2:5">
      <c r="B65" s="172" t="s">
        <v>80</v>
      </c>
      <c r="C65" s="173"/>
      <c r="D65" s="173"/>
      <c r="E65" s="173"/>
    </row>
    <row r="66" spans="2:5">
      <c r="B66" s="172" t="s">
        <v>81</v>
      </c>
      <c r="C66" s="173"/>
      <c r="D66" s="173"/>
      <c r="E66" s="173"/>
    </row>
    <row r="67" spans="2:5">
      <c r="B67" s="172" t="s">
        <v>82</v>
      </c>
      <c r="C67" s="173"/>
      <c r="D67" s="173"/>
      <c r="E67" s="173"/>
    </row>
    <row r="68" spans="2:5">
      <c r="B68" s="171" t="s">
        <v>83</v>
      </c>
      <c r="C68" s="171"/>
      <c r="D68" s="171"/>
      <c r="E68" s="171"/>
    </row>
    <row r="69" spans="2:5">
      <c r="B69" s="183" t="s">
        <v>84</v>
      </c>
      <c r="C69" s="184" t="s">
        <v>85</v>
      </c>
      <c r="D69" s="184"/>
      <c r="E69" s="173"/>
    </row>
    <row r="70" spans="2:5">
      <c r="B70" s="183" t="s">
        <v>86</v>
      </c>
      <c r="C70" s="184" t="s">
        <v>87</v>
      </c>
      <c r="D70" s="184"/>
      <c r="E70" s="173"/>
    </row>
    <row r="71" spans="2:5">
      <c r="B71" s="183" t="s">
        <v>88</v>
      </c>
      <c r="C71" s="184" t="s">
        <v>89</v>
      </c>
      <c r="D71" s="184"/>
      <c r="E71" s="173"/>
    </row>
    <row r="72" spans="2:5">
      <c r="B72" s="172" t="s">
        <v>90</v>
      </c>
      <c r="C72" s="173"/>
      <c r="D72" s="173"/>
      <c r="E72" s="173"/>
    </row>
    <row r="73" spans="2:5">
      <c r="B73" s="185" t="s">
        <v>91</v>
      </c>
      <c r="C73" s="173"/>
      <c r="D73" s="173"/>
      <c r="E73" s="173"/>
    </row>
  </sheetData>
  <mergeCells count="63">
    <mergeCell ref="B2:E2"/>
    <mergeCell ref="B3:E3"/>
    <mergeCell ref="B4:E4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C69:D69"/>
    <mergeCell ref="C70:D70"/>
    <mergeCell ref="C71:D71"/>
    <mergeCell ref="B72:E72"/>
    <mergeCell ref="B73:E73"/>
  </mergeCells>
  <pageMargins left="0.4" right="0.4" top="0.5" bottom="0.5" header="0.3" footer="0.3"/>
  <pageSetup paperSize="9" fitToHeight="0" orientation="landscape"/>
  <headerFooter/>
  <ignoredErrors>
    <ignoredError sqref="B1:E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Z125"/>
  <sheetViews>
    <sheetView zoomScale="78" zoomScaleNormal="78" topLeftCell="B1" workbookViewId="0">
      <selection activeCell="Q30" sqref="Q30"/>
    </sheetView>
  </sheetViews>
  <sheetFormatPr defaultColWidth="9" defaultRowHeight="14.4"/>
  <cols>
    <col min="1" max="1" width="16.9166666666667" style="98" customWidth="1"/>
    <col min="2" max="2" width="9.88888888888889" style="98" customWidth="1"/>
    <col min="3" max="3" width="8.88888888888889" style="98" customWidth="1"/>
    <col min="4" max="4" width="10.0833333333333" style="98" customWidth="1"/>
    <col min="5" max="5" width="10.25" style="98" customWidth="1"/>
    <col min="6" max="6" width="9.51851851851852" style="110" customWidth="1"/>
    <col min="7" max="7" width="5.96296296296296" style="135" customWidth="1"/>
    <col min="8" max="8" width="5.96296296296296" style="136" customWidth="1"/>
    <col min="9" max="9" width="7.71296296296296" style="136" customWidth="1"/>
    <col min="10" max="11" width="5.96296296296296" style="136" customWidth="1"/>
    <col min="12" max="13" width="6.55555555555556" style="110" hidden="1" customWidth="1"/>
    <col min="14" max="14" width="9.76851851851852" style="110" customWidth="1"/>
    <col min="15" max="15" width="7.77777777777778" style="98" customWidth="1"/>
    <col min="16" max="16" width="11.4444444444444" style="98" customWidth="1"/>
    <col min="17" max="17" width="13.962962962963" style="98" customWidth="1"/>
    <col min="18" max="18" width="6.02777777777778" customWidth="1"/>
    <col min="19" max="19" width="6.92592592592593" customWidth="1"/>
  </cols>
  <sheetData>
    <row r="1" spans="1:26">
      <c r="A1" s="137" t="s">
        <v>92</v>
      </c>
      <c r="B1" s="137"/>
      <c r="C1" s="137"/>
      <c r="D1" s="137"/>
      <c r="E1" s="137"/>
      <c r="F1" s="138"/>
      <c r="G1" s="124" t="s">
        <v>93</v>
      </c>
      <c r="H1" s="125" t="s">
        <v>94</v>
      </c>
      <c r="I1" s="126" t="s">
        <v>95</v>
      </c>
      <c r="J1" s="127" t="s">
        <v>93</v>
      </c>
      <c r="K1" s="139" t="s">
        <v>96</v>
      </c>
      <c r="N1" s="140"/>
      <c r="O1" s="140"/>
      <c r="P1" s="140"/>
      <c r="Q1" s="141" t="s">
        <v>97</v>
      </c>
      <c r="R1" s="142"/>
      <c r="S1" s="142" t="s">
        <v>98</v>
      </c>
    </row>
    <row r="2" ht="16" customHeight="1" spans="1:26">
      <c r="A2" s="137" t="s">
        <v>99</v>
      </c>
      <c r="B2" s="137" t="s">
        <v>100</v>
      </c>
      <c r="C2" s="137" t="s">
        <v>101</v>
      </c>
      <c r="D2" s="137" t="s">
        <v>102</v>
      </c>
      <c r="E2" s="137" t="s">
        <v>103</v>
      </c>
      <c r="F2" s="143" t="s">
        <v>104</v>
      </c>
      <c r="G2" s="144"/>
      <c r="H2" s="145"/>
      <c r="I2" s="126"/>
      <c r="J2" s="146"/>
      <c r="K2" s="147"/>
      <c r="N2" s="140" t="s">
        <v>105</v>
      </c>
      <c r="O2" s="140" t="s">
        <v>106</v>
      </c>
      <c r="P2" s="140" t="s">
        <v>107</v>
      </c>
      <c r="Q2" s="140" t="s">
        <v>108</v>
      </c>
      <c r="R2" s="142" t="s">
        <v>109</v>
      </c>
      <c r="S2" s="142" t="s">
        <v>110</v>
      </c>
      <c r="U2" s="148"/>
      <c r="V2" s="148"/>
      <c r="W2" s="148"/>
      <c r="X2" s="148"/>
      <c r="Y2" s="148"/>
      <c r="Z2" s="148"/>
    </row>
    <row r="3" spans="1:26">
      <c r="A3" s="98" t="s">
        <v>111</v>
      </c>
      <c r="F3" s="149"/>
      <c r="G3" s="129">
        <v>51776</v>
      </c>
      <c r="H3" s="129">
        <v>39938</v>
      </c>
      <c r="I3" s="129">
        <f t="shared" ref="I3:I8" si="0">G3+H3+J3+K3</f>
        <v>136527</v>
      </c>
      <c r="J3" s="129">
        <v>28009</v>
      </c>
      <c r="K3" s="131">
        <v>16804</v>
      </c>
      <c r="U3" s="148"/>
    </row>
    <row r="4" spans="1:26">
      <c r="F4" s="150">
        <v>5090</v>
      </c>
      <c r="G4" s="129">
        <v>49510</v>
      </c>
      <c r="H4" s="129">
        <v>36673</v>
      </c>
      <c r="I4" s="129">
        <f t="shared" si="0"/>
        <v>125801</v>
      </c>
      <c r="J4" s="129">
        <v>25485</v>
      </c>
      <c r="K4" s="132">
        <v>14133</v>
      </c>
      <c r="U4" s="148"/>
    </row>
    <row r="5" spans="1:26">
      <c r="F5" s="150" t="s">
        <v>112</v>
      </c>
      <c r="G5" s="129">
        <v>49510</v>
      </c>
      <c r="H5" s="129">
        <v>36673</v>
      </c>
      <c r="I5" s="129">
        <f t="shared" si="0"/>
        <v>125801</v>
      </c>
      <c r="J5" s="129">
        <v>25485</v>
      </c>
      <c r="K5" s="132">
        <v>14133</v>
      </c>
      <c r="U5" s="148"/>
    </row>
    <row r="6" spans="1:26">
      <c r="E6" s="115"/>
      <c r="F6" s="150" t="s">
        <v>113</v>
      </c>
      <c r="G6" s="129">
        <v>47000</v>
      </c>
      <c r="H6" s="129">
        <v>33881</v>
      </c>
      <c r="I6" s="129">
        <f t="shared" si="0"/>
        <v>119443</v>
      </c>
      <c r="J6" s="130">
        <v>24562</v>
      </c>
      <c r="K6" s="132">
        <v>14000</v>
      </c>
      <c r="U6" s="148"/>
    </row>
    <row r="7" spans="1:26">
      <c r="E7" s="151">
        <v>4090</v>
      </c>
      <c r="F7" s="150"/>
      <c r="G7" s="129">
        <v>36362</v>
      </c>
      <c r="H7" s="129">
        <v>26093</v>
      </c>
      <c r="I7" s="130">
        <f t="shared" si="0"/>
        <v>91166</v>
      </c>
      <c r="J7" s="131">
        <v>19481</v>
      </c>
      <c r="K7" s="133">
        <v>9230</v>
      </c>
      <c r="U7" s="148"/>
    </row>
    <row r="8" spans="1:26">
      <c r="E8" s="151" t="s">
        <v>114</v>
      </c>
      <c r="F8" s="150"/>
      <c r="G8" s="129">
        <v>34199</v>
      </c>
      <c r="H8" s="130">
        <v>24046</v>
      </c>
      <c r="I8" s="130">
        <f t="shared" si="0"/>
        <v>85024</v>
      </c>
      <c r="J8" s="131">
        <v>18207</v>
      </c>
      <c r="K8" s="133">
        <v>8572</v>
      </c>
      <c r="U8" s="152" t="s">
        <v>115</v>
      </c>
    </row>
    <row r="9" spans="1:26">
      <c r="E9" s="151"/>
      <c r="F9" s="150" t="s">
        <v>116</v>
      </c>
      <c r="G9" s="129"/>
      <c r="H9" s="130"/>
      <c r="I9" s="130"/>
      <c r="J9" s="131"/>
      <c r="K9" s="133"/>
      <c r="U9" s="152"/>
    </row>
    <row r="10" spans="1:26">
      <c r="E10" s="151"/>
      <c r="F10" s="150">
        <v>5080</v>
      </c>
      <c r="G10" s="129">
        <v>31966</v>
      </c>
      <c r="H10" s="130">
        <v>22143</v>
      </c>
      <c r="I10" s="131">
        <f>G10+H10+J10+K10</f>
        <v>78535</v>
      </c>
      <c r="J10" s="131">
        <v>16066</v>
      </c>
      <c r="K10" s="133">
        <v>8360</v>
      </c>
      <c r="U10" s="104" t="s">
        <v>117</v>
      </c>
    </row>
    <row r="11" spans="1:26">
      <c r="A11" s="98" t="s">
        <v>118</v>
      </c>
      <c r="E11" s="151"/>
      <c r="F11" s="150"/>
      <c r="G11" s="129">
        <v>30578</v>
      </c>
      <c r="H11" s="131"/>
      <c r="I11" s="131"/>
      <c r="J11" s="131"/>
      <c r="K11" s="134"/>
      <c r="U11" s="105" t="s">
        <v>119</v>
      </c>
    </row>
    <row r="12" customFormat="1" spans="1:26">
      <c r="A12" s="98"/>
      <c r="B12" s="98"/>
      <c r="C12" s="98"/>
      <c r="D12" s="98"/>
      <c r="E12" s="151"/>
      <c r="F12" s="150"/>
      <c r="G12" s="129">
        <v>29529</v>
      </c>
      <c r="H12" s="131">
        <v>18072</v>
      </c>
      <c r="I12" s="131">
        <f>G12+H12+J12+K12</f>
        <v>68953</v>
      </c>
      <c r="J12" s="132">
        <v>14342</v>
      </c>
      <c r="K12" s="134">
        <v>7010</v>
      </c>
      <c r="L12" s="110"/>
      <c r="M12" s="110"/>
      <c r="N12" s="153" t="s">
        <v>120</v>
      </c>
      <c r="O12" s="115"/>
      <c r="P12" s="98"/>
      <c r="Q12" s="98"/>
      <c r="U12" s="107" t="s">
        <v>121</v>
      </c>
    </row>
    <row r="13" spans="1:26">
      <c r="E13" s="151"/>
      <c r="F13" s="150"/>
      <c r="G13" s="129">
        <v>30311</v>
      </c>
      <c r="H13" s="131">
        <v>16434</v>
      </c>
      <c r="I13" s="131">
        <f>G13+H13+J13+K13</f>
        <v>68852</v>
      </c>
      <c r="J13" s="131">
        <v>15222</v>
      </c>
      <c r="K13" s="134">
        <v>6885</v>
      </c>
      <c r="N13" s="153"/>
      <c r="O13" s="154" t="s">
        <v>122</v>
      </c>
      <c r="U13" s="108" t="s">
        <v>123</v>
      </c>
    </row>
    <row r="14" spans="1:26">
      <c r="E14" s="151"/>
      <c r="F14" s="150" t="s">
        <v>124</v>
      </c>
      <c r="G14" s="129"/>
      <c r="H14" s="131"/>
      <c r="I14" s="131"/>
      <c r="J14" s="131"/>
      <c r="K14" s="134"/>
      <c r="N14" s="153"/>
      <c r="O14" s="154"/>
      <c r="U14" s="108"/>
    </row>
    <row r="15" spans="1:26">
      <c r="E15" s="151" t="s">
        <v>125</v>
      </c>
      <c r="F15" s="150"/>
      <c r="G15" s="129">
        <v>28499</v>
      </c>
      <c r="H15" s="131">
        <v>18355</v>
      </c>
      <c r="I15" s="131">
        <f t="shared" ref="I15:I20" si="1">G15+H15+J15+K15</f>
        <v>67687</v>
      </c>
      <c r="J15" s="132">
        <v>14253</v>
      </c>
      <c r="K15" s="134">
        <v>6580</v>
      </c>
      <c r="N15" s="153"/>
      <c r="O15" s="154"/>
      <c r="U15" s="114" t="s">
        <v>123</v>
      </c>
    </row>
    <row r="16" spans="1:26">
      <c r="E16" s="151"/>
      <c r="F16" s="150" t="s">
        <v>126</v>
      </c>
      <c r="G16" s="129">
        <v>27622</v>
      </c>
      <c r="H16" s="131">
        <v>19201</v>
      </c>
      <c r="I16" s="131">
        <f t="shared" si="1"/>
        <v>66857</v>
      </c>
      <c r="J16" s="132">
        <v>13532</v>
      </c>
      <c r="K16" s="134">
        <v>6502</v>
      </c>
      <c r="N16" s="153"/>
      <c r="O16" s="154"/>
      <c r="U16" s="120" t="s">
        <v>123</v>
      </c>
    </row>
    <row r="17" spans="1:21">
      <c r="E17" s="151">
        <v>4080</v>
      </c>
      <c r="F17" s="150"/>
      <c r="G17" s="129">
        <v>28188</v>
      </c>
      <c r="H17" s="131">
        <v>17911</v>
      </c>
      <c r="I17" s="131">
        <f t="shared" si="1"/>
        <v>66685</v>
      </c>
      <c r="J17" s="132">
        <v>14041</v>
      </c>
      <c r="K17" s="134">
        <v>6545</v>
      </c>
      <c r="N17" s="153"/>
      <c r="O17" s="154"/>
      <c r="U17" s="121" t="s">
        <v>123</v>
      </c>
    </row>
    <row r="18" customFormat="1" spans="1:21">
      <c r="A18" s="98"/>
      <c r="B18" s="98"/>
      <c r="C18" s="98"/>
      <c r="D18" s="98"/>
      <c r="E18" s="151"/>
      <c r="F18" s="155"/>
      <c r="G18" s="129">
        <v>26277</v>
      </c>
      <c r="H18" s="131">
        <v>15620</v>
      </c>
      <c r="I18" s="131">
        <f t="shared" si="1"/>
        <v>60503</v>
      </c>
      <c r="J18" s="132">
        <v>12634</v>
      </c>
      <c r="K18" s="134">
        <v>5972</v>
      </c>
      <c r="L18" s="110"/>
      <c r="M18" s="110"/>
      <c r="N18" s="153">
        <v>9070</v>
      </c>
      <c r="O18" s="154"/>
      <c r="P18" s="98"/>
      <c r="Q18" s="98"/>
      <c r="U18" s="156" t="s">
        <v>123</v>
      </c>
    </row>
    <row r="19" spans="1:21">
      <c r="E19" s="151"/>
      <c r="F19" s="150"/>
      <c r="G19" s="129">
        <v>26415</v>
      </c>
      <c r="H19" s="132">
        <v>14099</v>
      </c>
      <c r="I19" s="132">
        <f t="shared" si="1"/>
        <v>59178</v>
      </c>
      <c r="J19" s="132">
        <v>13038</v>
      </c>
      <c r="K19" s="134">
        <v>5626</v>
      </c>
      <c r="N19" s="153"/>
      <c r="O19" s="154" t="s">
        <v>127</v>
      </c>
    </row>
    <row r="20" spans="1:21">
      <c r="E20" s="151" t="s">
        <v>128</v>
      </c>
      <c r="F20" s="155"/>
      <c r="G20" s="130">
        <v>24346</v>
      </c>
      <c r="H20" s="131">
        <v>15385</v>
      </c>
      <c r="I20" s="132">
        <f t="shared" si="1"/>
        <v>57038</v>
      </c>
      <c r="J20" s="132">
        <v>11765</v>
      </c>
      <c r="K20" s="134">
        <v>5542</v>
      </c>
      <c r="N20" s="153"/>
      <c r="O20" s="154"/>
    </row>
    <row r="21" spans="1:21">
      <c r="A21" s="98" t="s">
        <v>129</v>
      </c>
      <c r="E21" s="151"/>
      <c r="F21" s="155"/>
      <c r="G21" s="130">
        <v>23191</v>
      </c>
      <c r="H21" s="132"/>
      <c r="I21" s="132"/>
      <c r="J21" s="132"/>
      <c r="K21" s="134"/>
      <c r="N21" s="153"/>
      <c r="O21" s="154"/>
    </row>
    <row r="22" customFormat="1" spans="1:21">
      <c r="A22" s="98"/>
      <c r="B22" s="98"/>
      <c r="C22" s="98"/>
      <c r="D22" s="98"/>
      <c r="E22" s="151"/>
      <c r="F22" s="155" t="s">
        <v>130</v>
      </c>
      <c r="G22" s="130"/>
      <c r="H22" s="132"/>
      <c r="I22" s="132"/>
      <c r="J22" s="132"/>
      <c r="K22" s="134"/>
      <c r="L22" s="110"/>
      <c r="M22" s="110"/>
      <c r="N22" s="153"/>
      <c r="O22" s="154"/>
      <c r="P22" s="98"/>
      <c r="Q22" s="98"/>
    </row>
    <row r="23" customFormat="1" spans="1:21">
      <c r="A23" s="98"/>
      <c r="B23" s="98"/>
      <c r="C23" s="98"/>
      <c r="D23" s="151" t="s">
        <v>131</v>
      </c>
      <c r="E23" s="151"/>
      <c r="F23" s="155"/>
      <c r="G23" s="130">
        <v>21816</v>
      </c>
      <c r="H23" s="132">
        <v>14859</v>
      </c>
      <c r="I23" s="132">
        <f t="shared" ref="I23:I39" si="2">G23+H23+J23+K23</f>
        <v>53729</v>
      </c>
      <c r="J23" s="132">
        <v>11312</v>
      </c>
      <c r="K23" s="134">
        <v>5742</v>
      </c>
      <c r="L23" s="110"/>
      <c r="M23" s="110"/>
      <c r="N23" s="153"/>
      <c r="O23" s="154"/>
      <c r="P23" s="98"/>
      <c r="Q23" s="98"/>
    </row>
    <row r="24" spans="1:21">
      <c r="D24" s="151"/>
      <c r="E24" s="151" t="s">
        <v>132</v>
      </c>
      <c r="F24" s="155"/>
      <c r="G24" s="130">
        <v>22787</v>
      </c>
      <c r="H24" s="132">
        <v>14033</v>
      </c>
      <c r="I24" s="132">
        <f t="shared" si="2"/>
        <v>52744</v>
      </c>
      <c r="J24" s="132">
        <v>10908</v>
      </c>
      <c r="K24" s="134">
        <v>5016</v>
      </c>
      <c r="N24" s="153"/>
      <c r="O24" s="154"/>
    </row>
    <row r="25" spans="1:21">
      <c r="D25" s="151"/>
      <c r="E25" s="151"/>
      <c r="F25" s="155"/>
      <c r="G25" s="130">
        <v>22748</v>
      </c>
      <c r="H25" s="132">
        <v>13726</v>
      </c>
      <c r="I25" s="132">
        <f t="shared" si="2"/>
        <v>52384</v>
      </c>
      <c r="J25" s="132">
        <v>10636</v>
      </c>
      <c r="K25" s="157">
        <v>5274</v>
      </c>
      <c r="N25" s="153" t="s">
        <v>133</v>
      </c>
      <c r="O25" s="154"/>
    </row>
    <row r="26" spans="1:21">
      <c r="D26" s="151"/>
      <c r="E26" s="151"/>
      <c r="F26" s="155">
        <v>5070</v>
      </c>
      <c r="G26" s="130">
        <v>22357</v>
      </c>
      <c r="H26" s="132">
        <v>14105</v>
      </c>
      <c r="I26" s="132">
        <f t="shared" si="2"/>
        <v>52209</v>
      </c>
      <c r="J26" s="132">
        <v>10723</v>
      </c>
      <c r="K26" s="134">
        <v>5024</v>
      </c>
      <c r="N26" s="153"/>
      <c r="O26" s="154"/>
    </row>
    <row r="27" spans="1:21">
      <c r="D27" s="151"/>
      <c r="E27" s="151"/>
      <c r="F27" s="155"/>
      <c r="G27" s="130">
        <v>21646</v>
      </c>
      <c r="H27" s="132">
        <v>12334</v>
      </c>
      <c r="I27" s="132">
        <f t="shared" si="2"/>
        <v>49316</v>
      </c>
      <c r="J27" s="132">
        <v>10535</v>
      </c>
      <c r="K27" s="158">
        <v>4801</v>
      </c>
      <c r="N27" s="153"/>
      <c r="O27" s="154" t="s">
        <v>134</v>
      </c>
    </row>
    <row r="28" spans="1:21">
      <c r="D28" s="151"/>
      <c r="E28" s="151" t="s">
        <v>135</v>
      </c>
      <c r="F28" s="155"/>
      <c r="G28" s="130">
        <v>21095</v>
      </c>
      <c r="H28" s="132">
        <v>13201</v>
      </c>
      <c r="I28" s="132">
        <f t="shared" si="2"/>
        <v>49052</v>
      </c>
      <c r="J28" s="132">
        <v>10138</v>
      </c>
      <c r="K28" s="158">
        <v>4618</v>
      </c>
      <c r="N28" s="153"/>
      <c r="O28" s="154"/>
      <c r="P28" s="115"/>
    </row>
    <row r="29" customFormat="1" spans="1:21">
      <c r="A29" s="98"/>
      <c r="B29" s="98"/>
      <c r="C29" s="98"/>
      <c r="D29" s="151">
        <v>3090</v>
      </c>
      <c r="E29" s="151"/>
      <c r="F29" s="155"/>
      <c r="G29" s="131">
        <v>19900</v>
      </c>
      <c r="H29" s="132">
        <v>13639</v>
      </c>
      <c r="I29" s="132">
        <f t="shared" si="2"/>
        <v>48966</v>
      </c>
      <c r="J29" s="132">
        <v>10286</v>
      </c>
      <c r="K29" s="134">
        <v>5141</v>
      </c>
      <c r="L29" s="110"/>
      <c r="M29" s="110"/>
      <c r="N29" s="153"/>
      <c r="O29" s="154"/>
      <c r="P29" s="115"/>
      <c r="Q29" s="98"/>
    </row>
    <row r="30" customFormat="1" spans="1:21">
      <c r="A30" s="98"/>
      <c r="B30" s="98"/>
      <c r="C30" s="98"/>
      <c r="D30" s="151" t="s">
        <v>136</v>
      </c>
      <c r="E30" s="151"/>
      <c r="F30" s="155"/>
      <c r="G30" s="131">
        <v>19620</v>
      </c>
      <c r="H30" s="132">
        <v>13240</v>
      </c>
      <c r="I30" s="132">
        <f t="shared" si="2"/>
        <v>47977</v>
      </c>
      <c r="J30" s="132">
        <v>10036</v>
      </c>
      <c r="K30" s="134">
        <v>5081</v>
      </c>
      <c r="L30" s="110"/>
      <c r="M30" s="110"/>
      <c r="N30" s="153"/>
      <c r="O30" s="154"/>
      <c r="P30" s="115"/>
      <c r="Q30" s="98"/>
    </row>
    <row r="31" spans="1:21">
      <c r="D31" s="151"/>
      <c r="E31" s="151"/>
      <c r="F31" s="155"/>
      <c r="G31" s="130">
        <v>21551</v>
      </c>
      <c r="H31" s="132">
        <v>10826</v>
      </c>
      <c r="I31" s="132">
        <f t="shared" si="2"/>
        <v>47317</v>
      </c>
      <c r="J31" s="132">
        <v>10687</v>
      </c>
      <c r="K31" s="158">
        <v>4253</v>
      </c>
      <c r="N31" s="153"/>
      <c r="O31" s="154"/>
      <c r="P31" s="154" t="s">
        <v>137</v>
      </c>
    </row>
    <row r="32" spans="1:21">
      <c r="D32" s="151"/>
      <c r="E32" s="151"/>
      <c r="F32" s="155"/>
      <c r="G32" s="130">
        <v>20737</v>
      </c>
      <c r="H32" s="132">
        <v>10395</v>
      </c>
      <c r="I32" s="132">
        <f t="shared" si="2"/>
        <v>45279</v>
      </c>
      <c r="J32" s="132">
        <v>10028</v>
      </c>
      <c r="K32" s="158">
        <v>4119</v>
      </c>
      <c r="N32" s="153"/>
      <c r="O32" s="154"/>
      <c r="P32" s="154" t="s">
        <v>138</v>
      </c>
    </row>
    <row r="33" customFormat="1" spans="1:18">
      <c r="A33" s="98"/>
      <c r="B33" s="98"/>
      <c r="C33" s="98"/>
      <c r="D33" s="151" t="s">
        <v>139</v>
      </c>
      <c r="E33" s="151"/>
      <c r="F33" s="155"/>
      <c r="G33" s="131">
        <v>18634</v>
      </c>
      <c r="H33" s="132">
        <v>12269</v>
      </c>
      <c r="I33" s="132">
        <f t="shared" si="2"/>
        <v>45100</v>
      </c>
      <c r="J33" s="133">
        <v>9412</v>
      </c>
      <c r="K33" s="158">
        <v>4785</v>
      </c>
      <c r="L33" s="110"/>
      <c r="M33" s="110"/>
      <c r="N33" s="153"/>
      <c r="O33" s="154"/>
      <c r="P33" s="154"/>
      <c r="Q33" s="98"/>
    </row>
    <row r="34" spans="1:18">
      <c r="D34" s="151"/>
      <c r="E34" s="151"/>
      <c r="F34" s="155"/>
      <c r="G34" s="130">
        <v>20014</v>
      </c>
      <c r="H34" s="132">
        <v>10816</v>
      </c>
      <c r="I34" s="132">
        <f t="shared" si="2"/>
        <v>44404</v>
      </c>
      <c r="J34" s="133">
        <v>9432</v>
      </c>
      <c r="K34" s="158">
        <v>4142</v>
      </c>
      <c r="N34" s="153"/>
      <c r="O34" s="154" t="s">
        <v>140</v>
      </c>
      <c r="P34" s="154"/>
    </row>
    <row r="35" customFormat="1" spans="1:18">
      <c r="A35" s="98"/>
      <c r="B35" s="98"/>
      <c r="C35" s="98"/>
      <c r="D35" s="151">
        <v>3080</v>
      </c>
      <c r="E35" s="151"/>
      <c r="F35" s="155"/>
      <c r="G35" s="131">
        <v>17658</v>
      </c>
      <c r="H35" s="132">
        <v>11583</v>
      </c>
      <c r="I35" s="132">
        <f t="shared" si="2"/>
        <v>42563</v>
      </c>
      <c r="J35" s="133">
        <v>8893</v>
      </c>
      <c r="K35" s="158">
        <v>4429</v>
      </c>
      <c r="L35" s="110"/>
      <c r="M35" s="110"/>
      <c r="N35" s="153"/>
      <c r="O35" s="154"/>
      <c r="P35" s="154"/>
      <c r="Q35" s="98"/>
    </row>
    <row r="36" spans="1:18">
      <c r="D36" s="151"/>
      <c r="E36" s="151"/>
      <c r="F36" s="155"/>
      <c r="G36" s="131">
        <v>19298</v>
      </c>
      <c r="H36" s="133">
        <v>9535</v>
      </c>
      <c r="I36" s="132">
        <f t="shared" si="2"/>
        <v>41826</v>
      </c>
      <c r="J36" s="133">
        <v>9273</v>
      </c>
      <c r="K36" s="158">
        <v>3720</v>
      </c>
      <c r="N36" s="153"/>
      <c r="O36" s="154"/>
      <c r="P36" s="154" t="s">
        <v>141</v>
      </c>
    </row>
    <row r="37" spans="1:18">
      <c r="D37" s="151"/>
      <c r="E37" s="151">
        <v>4070</v>
      </c>
      <c r="F37" s="155"/>
      <c r="G37" s="131">
        <v>17869</v>
      </c>
      <c r="H37" s="132">
        <v>11123</v>
      </c>
      <c r="I37" s="132">
        <f t="shared" si="2"/>
        <v>41204</v>
      </c>
      <c r="J37" s="133">
        <v>8368</v>
      </c>
      <c r="K37" s="158">
        <v>3844</v>
      </c>
      <c r="N37" s="153"/>
      <c r="O37" s="154"/>
      <c r="P37" s="154"/>
    </row>
    <row r="38" spans="1:18">
      <c r="A38" s="98" t="s">
        <v>142</v>
      </c>
      <c r="D38" s="151"/>
      <c r="E38" s="151"/>
      <c r="F38" s="155"/>
      <c r="G38" s="131">
        <v>17741</v>
      </c>
      <c r="H38" s="133"/>
      <c r="I38" s="133"/>
      <c r="J38" s="133"/>
      <c r="K38" s="158"/>
      <c r="N38" s="153"/>
      <c r="O38" s="154"/>
      <c r="P38" s="154"/>
    </row>
    <row r="39" customFormat="1" spans="1:18">
      <c r="A39" s="98"/>
      <c r="B39" s="98"/>
      <c r="C39" s="98"/>
      <c r="D39" s="151"/>
      <c r="E39" s="151"/>
      <c r="F39" s="155"/>
      <c r="G39" s="131">
        <v>16413</v>
      </c>
      <c r="H39" s="133">
        <v>9736</v>
      </c>
      <c r="I39" s="133">
        <f t="shared" ref="I39:I48" si="3">G39+H39+J39+K39</f>
        <v>37402</v>
      </c>
      <c r="J39" s="134">
        <v>7489</v>
      </c>
      <c r="K39" s="158">
        <v>3764</v>
      </c>
      <c r="L39" s="110"/>
      <c r="M39" s="110"/>
      <c r="N39" s="153" t="s">
        <v>143</v>
      </c>
      <c r="O39" s="154"/>
      <c r="P39" s="154"/>
      <c r="Q39" s="98"/>
    </row>
    <row r="40" spans="1:18">
      <c r="D40" s="151"/>
      <c r="E40" s="151"/>
      <c r="F40" s="155"/>
      <c r="G40" s="131">
        <v>17058</v>
      </c>
      <c r="H40" s="133">
        <v>9048</v>
      </c>
      <c r="I40" s="133">
        <f t="shared" si="3"/>
        <v>37268</v>
      </c>
      <c r="J40" s="133">
        <v>7858</v>
      </c>
      <c r="K40" s="158">
        <v>3304</v>
      </c>
      <c r="N40" s="153"/>
      <c r="O40" s="154" t="s">
        <v>144</v>
      </c>
      <c r="P40" s="154"/>
    </row>
    <row r="41" customFormat="1" spans="1:18">
      <c r="A41" s="98" t="s">
        <v>145</v>
      </c>
      <c r="B41" s="98"/>
      <c r="C41" s="98"/>
      <c r="D41" s="151"/>
      <c r="E41" s="151"/>
      <c r="F41" s="155"/>
      <c r="G41" s="131">
        <v>15174</v>
      </c>
      <c r="H41" s="133">
        <v>9858</v>
      </c>
      <c r="I41" s="133">
        <f t="shared" si="3"/>
        <v>36835</v>
      </c>
      <c r="J41" s="133">
        <v>8010</v>
      </c>
      <c r="K41" s="158">
        <v>3793</v>
      </c>
      <c r="L41" s="110"/>
      <c r="M41" s="110"/>
      <c r="N41" s="153"/>
      <c r="O41" s="154"/>
      <c r="P41" s="154"/>
      <c r="Q41" s="98"/>
    </row>
    <row r="42" customFormat="1" spans="1:18">
      <c r="A42" s="98"/>
      <c r="B42" s="98"/>
      <c r="C42" s="98"/>
      <c r="D42" s="151"/>
      <c r="E42" s="151"/>
      <c r="F42" s="155" t="s">
        <v>146</v>
      </c>
      <c r="G42" s="131">
        <v>15389</v>
      </c>
      <c r="H42" s="133">
        <v>9944</v>
      </c>
      <c r="I42" s="133">
        <f t="shared" si="3"/>
        <v>35924</v>
      </c>
      <c r="J42" s="134">
        <v>7136</v>
      </c>
      <c r="K42" s="158">
        <v>3455</v>
      </c>
      <c r="L42" s="110"/>
      <c r="M42" s="110"/>
      <c r="N42" s="153"/>
      <c r="O42" s="154"/>
      <c r="P42" s="154"/>
      <c r="Q42" s="98"/>
    </row>
    <row r="43" customFormat="1" spans="1:18">
      <c r="A43" s="98"/>
      <c r="B43" s="98"/>
      <c r="C43" s="98"/>
      <c r="D43" s="151"/>
      <c r="E43" s="151"/>
      <c r="F43" s="155" t="s">
        <v>147</v>
      </c>
      <c r="G43" s="131">
        <v>15389</v>
      </c>
      <c r="H43" s="133">
        <v>9944</v>
      </c>
      <c r="I43" s="133">
        <f t="shared" si="3"/>
        <v>35924</v>
      </c>
      <c r="J43" s="134">
        <v>7136</v>
      </c>
      <c r="K43" s="158">
        <v>3455</v>
      </c>
      <c r="L43" s="110"/>
      <c r="M43" s="110"/>
      <c r="N43" s="153"/>
      <c r="O43" s="154"/>
      <c r="P43" s="154"/>
      <c r="Q43" s="98"/>
    </row>
    <row r="44" customFormat="1" spans="1:18">
      <c r="A44" s="98"/>
      <c r="B44" s="98"/>
      <c r="C44" s="98"/>
      <c r="D44" s="151"/>
      <c r="E44" s="151"/>
      <c r="F44" s="155"/>
      <c r="G44" s="131">
        <v>15744</v>
      </c>
      <c r="H44" s="133">
        <v>9047</v>
      </c>
      <c r="I44" s="133">
        <f t="shared" si="3"/>
        <v>35550</v>
      </c>
      <c r="J44" s="134">
        <v>7234</v>
      </c>
      <c r="K44" s="158">
        <v>3525</v>
      </c>
      <c r="L44" s="110"/>
      <c r="M44" s="110"/>
      <c r="N44" s="153" t="s">
        <v>148</v>
      </c>
      <c r="O44" s="154"/>
      <c r="P44" s="154"/>
      <c r="Q44" s="98"/>
    </row>
    <row r="45" spans="1:18">
      <c r="D45" s="151"/>
      <c r="E45" s="151"/>
      <c r="F45" s="155"/>
      <c r="G45" s="131">
        <v>16165</v>
      </c>
      <c r="H45" s="133">
        <v>7836</v>
      </c>
      <c r="I45" s="133">
        <f t="shared" si="3"/>
        <v>34936</v>
      </c>
      <c r="J45" s="133">
        <v>7727</v>
      </c>
      <c r="K45" s="158">
        <v>3208</v>
      </c>
      <c r="O45" s="154"/>
      <c r="P45" s="154">
        <v>6800</v>
      </c>
    </row>
    <row r="46" customFormat="1" spans="1:18">
      <c r="A46" s="98"/>
      <c r="B46" s="98"/>
      <c r="C46" s="98"/>
      <c r="D46" s="151" t="s">
        <v>149</v>
      </c>
      <c r="E46" s="151"/>
      <c r="F46" s="155"/>
      <c r="G46" s="132">
        <v>14863</v>
      </c>
      <c r="H46" s="133">
        <v>8863</v>
      </c>
      <c r="I46" s="133">
        <f t="shared" si="3"/>
        <v>34604</v>
      </c>
      <c r="J46" s="134">
        <v>7403</v>
      </c>
      <c r="K46" s="158">
        <v>3475</v>
      </c>
      <c r="L46" s="110"/>
      <c r="M46" s="110"/>
      <c r="N46" s="110"/>
      <c r="O46" s="154"/>
      <c r="P46" s="154"/>
      <c r="Q46" s="98"/>
      <c r="R46" s="77"/>
    </row>
    <row r="47" customFormat="1" spans="1:18">
      <c r="A47" s="98"/>
      <c r="B47" s="98"/>
      <c r="C47" s="151" t="s">
        <v>150</v>
      </c>
      <c r="D47" s="151"/>
      <c r="E47" s="151"/>
      <c r="F47" s="155"/>
      <c r="G47" s="132">
        <v>14664</v>
      </c>
      <c r="H47" s="133">
        <v>9114</v>
      </c>
      <c r="I47" s="133">
        <f t="shared" si="3"/>
        <v>34414</v>
      </c>
      <c r="J47" s="134">
        <v>7086</v>
      </c>
      <c r="K47" s="158">
        <v>3550</v>
      </c>
      <c r="L47" s="110"/>
      <c r="M47" s="110"/>
      <c r="N47" s="110"/>
      <c r="O47" s="154"/>
      <c r="P47" s="154"/>
      <c r="Q47" s="98"/>
      <c r="R47" s="77"/>
    </row>
    <row r="48" spans="1:18">
      <c r="C48" s="151"/>
      <c r="D48" s="151"/>
      <c r="E48" s="151"/>
      <c r="F48" s="155"/>
      <c r="G48" s="132">
        <v>14923</v>
      </c>
      <c r="H48" s="133">
        <v>7889</v>
      </c>
      <c r="I48" s="133">
        <f t="shared" si="3"/>
        <v>32989</v>
      </c>
      <c r="J48" s="134">
        <v>7113</v>
      </c>
      <c r="K48" s="158">
        <v>3064</v>
      </c>
      <c r="O48" s="154"/>
      <c r="P48" s="154"/>
      <c r="R48" s="79" t="s">
        <v>151</v>
      </c>
    </row>
    <row r="49" spans="1:19">
      <c r="A49" s="98" t="s">
        <v>152</v>
      </c>
      <c r="C49" s="151"/>
      <c r="D49" s="151"/>
      <c r="E49" s="151"/>
      <c r="F49" s="155"/>
      <c r="G49" s="132">
        <v>14423</v>
      </c>
      <c r="H49" s="133"/>
      <c r="I49" s="133"/>
      <c r="J49" s="134"/>
      <c r="K49" s="158"/>
      <c r="O49" s="154"/>
      <c r="P49" s="154"/>
      <c r="R49" s="79"/>
    </row>
    <row r="50" spans="1:19">
      <c r="C50" s="151"/>
      <c r="D50" s="151"/>
      <c r="E50" s="151"/>
      <c r="F50" s="155">
        <v>5060</v>
      </c>
      <c r="G50" s="132">
        <v>14104</v>
      </c>
      <c r="H50" s="133">
        <v>8873</v>
      </c>
      <c r="I50" s="133">
        <f>G50+H50+J50+K50</f>
        <v>32816</v>
      </c>
      <c r="J50" s="134">
        <v>6573</v>
      </c>
      <c r="K50" s="158">
        <v>3266</v>
      </c>
      <c r="O50" s="154"/>
      <c r="P50" s="154"/>
      <c r="R50" s="79"/>
    </row>
    <row r="51" spans="1:19">
      <c r="A51" s="98">
        <v>6000</v>
      </c>
      <c r="C51" s="151"/>
      <c r="D51" s="151"/>
      <c r="E51" s="151"/>
      <c r="F51" s="155"/>
      <c r="G51" s="132">
        <v>13833</v>
      </c>
      <c r="H51" s="133"/>
      <c r="I51" s="133"/>
      <c r="J51" s="134"/>
      <c r="K51" s="158"/>
      <c r="O51" s="154"/>
      <c r="P51" s="154"/>
      <c r="R51" s="79"/>
    </row>
    <row r="52" spans="1:19">
      <c r="C52" s="151"/>
      <c r="D52" s="151">
        <v>3070</v>
      </c>
      <c r="E52" s="151"/>
      <c r="F52" s="155"/>
      <c r="G52" s="132">
        <v>13640</v>
      </c>
      <c r="H52" s="133">
        <v>8303</v>
      </c>
      <c r="I52" s="133">
        <f t="shared" ref="I51:I75" si="4">G52+H52+J52+K52</f>
        <v>31891</v>
      </c>
      <c r="J52" s="134">
        <v>6786</v>
      </c>
      <c r="K52" s="158">
        <v>3162</v>
      </c>
      <c r="O52" s="154"/>
      <c r="P52" s="154"/>
      <c r="R52" s="79"/>
    </row>
    <row r="53" customFormat="1" spans="1:19">
      <c r="A53" s="98"/>
      <c r="B53" s="98"/>
      <c r="C53" s="151"/>
      <c r="D53" s="151"/>
      <c r="E53" s="151" t="s">
        <v>153</v>
      </c>
      <c r="F53" s="155"/>
      <c r="G53" s="132">
        <v>13508</v>
      </c>
      <c r="H53" s="133">
        <v>8166</v>
      </c>
      <c r="I53" s="133">
        <f t="shared" si="4"/>
        <v>30861</v>
      </c>
      <c r="J53" s="134">
        <v>6287</v>
      </c>
      <c r="K53" s="158">
        <v>2900</v>
      </c>
      <c r="L53" s="110"/>
      <c r="M53" s="110"/>
      <c r="N53" s="110"/>
      <c r="O53" s="154"/>
      <c r="P53" s="154"/>
      <c r="Q53" s="98"/>
      <c r="R53" s="79"/>
      <c r="S53" s="77"/>
    </row>
    <row r="54" customFormat="1" spans="1:19">
      <c r="A54" s="98"/>
      <c r="B54" s="98"/>
      <c r="C54" s="151"/>
      <c r="D54" s="151"/>
      <c r="E54" s="151" t="s">
        <v>154</v>
      </c>
      <c r="F54" s="155"/>
      <c r="G54" s="132">
        <v>13508</v>
      </c>
      <c r="H54" s="133">
        <v>8166</v>
      </c>
      <c r="I54" s="133">
        <f t="shared" si="4"/>
        <v>30861</v>
      </c>
      <c r="J54" s="134">
        <v>6287</v>
      </c>
      <c r="K54" s="158">
        <v>2900</v>
      </c>
      <c r="L54" s="110"/>
      <c r="M54" s="110"/>
      <c r="N54" s="110"/>
      <c r="O54" s="154"/>
      <c r="P54" s="154"/>
      <c r="Q54" s="98"/>
      <c r="R54" s="79"/>
      <c r="S54" s="77"/>
    </row>
    <row r="55" spans="1:19">
      <c r="C55" s="151"/>
      <c r="D55" s="151"/>
      <c r="E55" s="151"/>
      <c r="F55" s="155"/>
      <c r="G55" s="132">
        <v>13552</v>
      </c>
      <c r="H55" s="134">
        <v>7065</v>
      </c>
      <c r="I55" s="133">
        <f t="shared" si="4"/>
        <v>30108</v>
      </c>
      <c r="J55" s="134">
        <v>6515</v>
      </c>
      <c r="K55" s="158">
        <v>2976</v>
      </c>
      <c r="O55" s="154"/>
      <c r="P55" s="154"/>
      <c r="R55" s="79" t="s">
        <v>155</v>
      </c>
      <c r="S55" s="77"/>
    </row>
    <row r="56" spans="1:19">
      <c r="C56" s="151"/>
      <c r="D56" s="151"/>
      <c r="E56" s="151"/>
      <c r="F56" s="155"/>
      <c r="G56" s="132">
        <v>13539</v>
      </c>
      <c r="H56" s="134">
        <v>6283</v>
      </c>
      <c r="I56" s="134">
        <f t="shared" si="4"/>
        <v>28713</v>
      </c>
      <c r="J56" s="134">
        <v>6321</v>
      </c>
      <c r="K56" s="158">
        <v>2570</v>
      </c>
      <c r="O56" s="154"/>
      <c r="P56" s="154" t="s">
        <v>156</v>
      </c>
      <c r="R56" s="79"/>
      <c r="S56" s="77"/>
    </row>
    <row r="57" spans="1:19">
      <c r="A57" s="98" t="s">
        <v>157</v>
      </c>
      <c r="C57" s="151"/>
      <c r="D57" s="151"/>
      <c r="E57" s="151"/>
      <c r="F57" s="155"/>
      <c r="G57" s="132">
        <v>13185</v>
      </c>
      <c r="H57" s="134"/>
      <c r="I57" s="134"/>
      <c r="J57" s="134"/>
      <c r="K57" s="158"/>
      <c r="O57" s="154"/>
      <c r="P57" s="154"/>
      <c r="R57" s="79"/>
      <c r="S57" s="77"/>
    </row>
    <row r="58" customFormat="1" spans="1:19">
      <c r="A58" s="98"/>
      <c r="B58" s="98"/>
      <c r="C58" s="151"/>
      <c r="D58" s="151"/>
      <c r="E58" s="151"/>
      <c r="F58" s="155"/>
      <c r="G58" s="132">
        <v>12504</v>
      </c>
      <c r="H58" s="134">
        <v>6616</v>
      </c>
      <c r="I58" s="134">
        <f t="shared" si="4"/>
        <v>27834</v>
      </c>
      <c r="J58" s="134">
        <v>6109</v>
      </c>
      <c r="K58" s="158">
        <v>2605</v>
      </c>
      <c r="L58" s="110"/>
      <c r="M58" s="110"/>
      <c r="N58" s="110"/>
      <c r="O58" s="154"/>
      <c r="P58" s="154"/>
      <c r="Q58" s="98"/>
      <c r="R58" s="79" t="s">
        <v>158</v>
      </c>
      <c r="S58" s="77"/>
    </row>
    <row r="59" customFormat="1" spans="1:19">
      <c r="A59" s="98"/>
      <c r="B59" s="98"/>
      <c r="C59" s="151"/>
      <c r="D59" s="151" t="s">
        <v>159</v>
      </c>
      <c r="E59" s="151"/>
      <c r="F59" s="155"/>
      <c r="G59" s="132">
        <v>11711</v>
      </c>
      <c r="H59" s="134">
        <v>7187</v>
      </c>
      <c r="I59" s="134">
        <f t="shared" si="4"/>
        <v>27501</v>
      </c>
      <c r="J59" s="134">
        <v>5939</v>
      </c>
      <c r="K59" s="158">
        <v>2664</v>
      </c>
      <c r="L59" s="110"/>
      <c r="M59" s="110"/>
      <c r="N59" s="110"/>
      <c r="O59" s="154"/>
      <c r="P59" s="154"/>
      <c r="Q59" s="98"/>
      <c r="R59" s="79"/>
      <c r="S59" s="77"/>
    </row>
    <row r="60" customFormat="1" spans="1:19">
      <c r="A60" s="98"/>
      <c r="B60" s="98"/>
      <c r="C60" s="151"/>
      <c r="D60" s="151"/>
      <c r="E60" s="151"/>
      <c r="F60" s="155"/>
      <c r="G60" s="132">
        <v>12633</v>
      </c>
      <c r="H60" s="134">
        <v>6309</v>
      </c>
      <c r="I60" s="134">
        <f t="shared" si="4"/>
        <v>27231</v>
      </c>
      <c r="J60" s="134">
        <v>5874</v>
      </c>
      <c r="K60" s="159">
        <v>2415</v>
      </c>
      <c r="L60" s="110"/>
      <c r="M60" s="110"/>
      <c r="N60" s="110"/>
      <c r="O60" s="154"/>
      <c r="P60" s="154" t="s">
        <v>160</v>
      </c>
      <c r="Q60" s="98"/>
      <c r="R60" s="79"/>
      <c r="S60" s="77"/>
    </row>
    <row r="61" spans="1:19">
      <c r="C61" s="151"/>
      <c r="D61" s="151"/>
      <c r="E61" s="151"/>
      <c r="F61" s="155"/>
      <c r="G61" s="132">
        <v>12798</v>
      </c>
      <c r="H61" s="134">
        <v>5977</v>
      </c>
      <c r="I61" s="134">
        <f t="shared" si="4"/>
        <v>27199</v>
      </c>
      <c r="J61" s="134">
        <v>5966</v>
      </c>
      <c r="K61" s="159">
        <v>2458</v>
      </c>
      <c r="O61" s="154"/>
      <c r="P61" s="154" t="s">
        <v>161</v>
      </c>
      <c r="R61" s="79"/>
      <c r="S61" s="77"/>
    </row>
    <row r="62" spans="1:19">
      <c r="C62" s="151"/>
      <c r="D62" s="151"/>
      <c r="E62" s="151"/>
      <c r="F62" s="155"/>
      <c r="G62" s="132">
        <v>12749</v>
      </c>
      <c r="H62" s="134"/>
      <c r="I62" s="134"/>
      <c r="J62" s="134"/>
      <c r="K62" s="159"/>
      <c r="O62" s="154"/>
      <c r="P62" s="154"/>
      <c r="R62" s="79" t="s">
        <v>162</v>
      </c>
      <c r="S62" s="77"/>
    </row>
    <row r="63" spans="1:19">
      <c r="C63" s="151" t="s">
        <v>163</v>
      </c>
      <c r="D63" s="151"/>
      <c r="E63" s="151"/>
      <c r="F63" s="155"/>
      <c r="G63" s="132">
        <v>11628</v>
      </c>
      <c r="H63" s="134">
        <v>7005</v>
      </c>
      <c r="I63" s="134">
        <f t="shared" si="4"/>
        <v>26783</v>
      </c>
      <c r="J63" s="134">
        <v>5389</v>
      </c>
      <c r="K63" s="158">
        <v>2761</v>
      </c>
      <c r="O63" s="154"/>
      <c r="P63" s="154"/>
      <c r="R63" s="79"/>
      <c r="S63" s="77"/>
    </row>
    <row r="64" customFormat="1" spans="1:19">
      <c r="A64" s="98"/>
      <c r="B64" s="98"/>
      <c r="C64" s="151">
        <v>2080</v>
      </c>
      <c r="D64" s="151"/>
      <c r="E64" s="151"/>
      <c r="F64" s="155"/>
      <c r="G64" s="132">
        <v>11092</v>
      </c>
      <c r="H64" s="134">
        <v>6447</v>
      </c>
      <c r="I64" s="134">
        <f t="shared" si="4"/>
        <v>25299</v>
      </c>
      <c r="J64" s="134">
        <v>5157</v>
      </c>
      <c r="K64" s="158">
        <v>2603</v>
      </c>
      <c r="L64" s="110"/>
      <c r="M64" s="110"/>
      <c r="N64" s="110"/>
      <c r="O64" s="154"/>
      <c r="P64" s="154"/>
      <c r="Q64" s="98"/>
      <c r="R64" s="79"/>
      <c r="S64" s="77"/>
    </row>
    <row r="65" spans="1:19">
      <c r="C65" s="151"/>
      <c r="D65" s="151"/>
      <c r="E65" s="151"/>
      <c r="F65" s="155"/>
      <c r="G65" s="132">
        <v>11274</v>
      </c>
      <c r="H65" s="134"/>
      <c r="I65" s="134"/>
      <c r="J65" s="134"/>
      <c r="K65" s="160"/>
      <c r="O65" s="154" t="s">
        <v>164</v>
      </c>
      <c r="P65" s="154"/>
      <c r="R65" s="79"/>
      <c r="S65" s="77"/>
    </row>
    <row r="66" spans="1:19">
      <c r="C66" s="151"/>
      <c r="D66" s="151"/>
      <c r="E66" s="151"/>
      <c r="F66" s="155"/>
      <c r="G66" s="132">
        <v>11199</v>
      </c>
      <c r="H66" s="134"/>
      <c r="I66" s="134"/>
      <c r="J66" s="134"/>
      <c r="K66" s="160"/>
      <c r="O66" s="154"/>
      <c r="P66" s="154">
        <v>6700</v>
      </c>
      <c r="R66" s="79"/>
      <c r="S66" s="77"/>
    </row>
    <row r="67" spans="1:19">
      <c r="A67" s="98" t="s">
        <v>165</v>
      </c>
      <c r="C67" s="151"/>
      <c r="D67" s="151"/>
      <c r="E67" s="151"/>
      <c r="F67" s="155"/>
      <c r="G67" s="132">
        <v>11120</v>
      </c>
      <c r="H67" s="134"/>
      <c r="I67" s="134"/>
      <c r="J67" s="134"/>
      <c r="K67" s="160"/>
      <c r="O67" s="154"/>
      <c r="P67" s="154"/>
      <c r="R67" s="79"/>
      <c r="S67" s="77"/>
    </row>
    <row r="68" customFormat="1" spans="1:19">
      <c r="A68" s="98"/>
      <c r="B68" s="98"/>
      <c r="C68" s="151"/>
      <c r="D68" s="151"/>
      <c r="E68" s="151"/>
      <c r="F68" s="155"/>
      <c r="G68" s="132">
        <v>10984</v>
      </c>
      <c r="H68" s="134">
        <v>5651</v>
      </c>
      <c r="I68" s="134">
        <f t="shared" ref="I68:I72" si="5">G68+H68+J68+K68</f>
        <v>24153</v>
      </c>
      <c r="J68" s="134">
        <v>5228</v>
      </c>
      <c r="K68" s="159">
        <v>2290</v>
      </c>
      <c r="L68" s="110"/>
      <c r="M68" s="110"/>
      <c r="N68" s="110"/>
      <c r="O68" s="154">
        <v>7600</v>
      </c>
      <c r="P68" s="154"/>
      <c r="Q68" s="98"/>
      <c r="R68" s="79"/>
      <c r="S68" s="77"/>
    </row>
    <row r="69" customFormat="1" spans="1:19">
      <c r="A69" s="98"/>
      <c r="B69" s="98"/>
      <c r="C69" s="151"/>
      <c r="D69" s="151"/>
      <c r="E69" s="151"/>
      <c r="F69" s="155"/>
      <c r="G69" s="132">
        <v>10775</v>
      </c>
      <c r="H69" s="134">
        <v>5837</v>
      </c>
      <c r="I69" s="134">
        <f t="shared" si="5"/>
        <v>23981</v>
      </c>
      <c r="J69" s="134">
        <v>5075</v>
      </c>
      <c r="K69" s="159">
        <v>2294</v>
      </c>
      <c r="L69" s="110"/>
      <c r="M69" s="110"/>
      <c r="N69" s="110"/>
      <c r="O69" s="154" t="s">
        <v>166</v>
      </c>
      <c r="P69" s="154"/>
      <c r="Q69" s="98"/>
      <c r="R69" s="79"/>
      <c r="S69" s="77"/>
    </row>
    <row r="70" customFormat="1" spans="1:19">
      <c r="A70" s="98"/>
      <c r="B70" s="98"/>
      <c r="C70" s="151"/>
      <c r="D70" s="151"/>
      <c r="E70" s="151"/>
      <c r="F70" s="155"/>
      <c r="G70" s="132">
        <v>10721</v>
      </c>
      <c r="H70" s="134">
        <v>5551</v>
      </c>
      <c r="I70" s="134">
        <f t="shared" si="5"/>
        <v>23915</v>
      </c>
      <c r="J70" s="134">
        <v>5414</v>
      </c>
      <c r="K70" s="159">
        <v>2229</v>
      </c>
      <c r="L70" s="110"/>
      <c r="M70" s="110"/>
      <c r="N70" s="110"/>
      <c r="O70" s="98"/>
      <c r="P70" s="154"/>
      <c r="Q70" s="98"/>
      <c r="R70" s="79" t="s">
        <v>167</v>
      </c>
      <c r="S70" s="77"/>
    </row>
    <row r="71" spans="1:19">
      <c r="C71" s="151"/>
      <c r="D71" s="151"/>
      <c r="E71" s="151">
        <v>4060</v>
      </c>
      <c r="F71" s="155"/>
      <c r="G71" s="132">
        <v>10630</v>
      </c>
      <c r="H71" s="134">
        <v>5999</v>
      </c>
      <c r="I71" s="134">
        <f t="shared" si="5"/>
        <v>23865</v>
      </c>
      <c r="J71" s="158">
        <v>4947</v>
      </c>
      <c r="K71" s="159">
        <v>2289</v>
      </c>
      <c r="P71" s="154"/>
      <c r="R71" s="79"/>
      <c r="S71" s="77"/>
    </row>
    <row r="72" spans="1:19">
      <c r="C72" s="151"/>
      <c r="D72" s="151"/>
      <c r="E72" s="115"/>
      <c r="F72" s="155"/>
      <c r="G72" s="132">
        <v>11102</v>
      </c>
      <c r="H72" s="134">
        <v>5439</v>
      </c>
      <c r="I72" s="134">
        <f t="shared" si="5"/>
        <v>23560</v>
      </c>
      <c r="J72" s="158">
        <v>4984</v>
      </c>
      <c r="K72" s="159">
        <v>2035</v>
      </c>
      <c r="O72" s="115"/>
      <c r="P72" s="154" t="s">
        <v>168</v>
      </c>
      <c r="R72" s="79"/>
      <c r="S72" s="77"/>
    </row>
    <row r="73" spans="1:19">
      <c r="A73" s="98">
        <v>5000</v>
      </c>
      <c r="C73" s="151"/>
      <c r="D73" s="151"/>
      <c r="E73" s="115"/>
      <c r="F73" s="155"/>
      <c r="G73" s="132">
        <v>10697</v>
      </c>
      <c r="H73" s="134"/>
      <c r="I73" s="134"/>
      <c r="J73" s="161"/>
      <c r="K73" s="160"/>
      <c r="P73" s="154"/>
      <c r="R73" s="79"/>
      <c r="S73" s="77"/>
    </row>
    <row r="74" spans="1:19">
      <c r="C74" s="151"/>
      <c r="D74" s="151"/>
      <c r="E74" s="115"/>
      <c r="F74" s="155">
        <v>5050</v>
      </c>
      <c r="G74" s="132">
        <v>10513</v>
      </c>
      <c r="H74" s="134">
        <v>6114</v>
      </c>
      <c r="I74" s="134">
        <f>G74+H74+J74+K74</f>
        <v>23537</v>
      </c>
      <c r="J74" s="162">
        <v>4607</v>
      </c>
      <c r="K74" s="163">
        <v>2303</v>
      </c>
      <c r="P74" s="154"/>
      <c r="R74" s="79"/>
      <c r="S74" s="77"/>
    </row>
    <row r="75" spans="1:19">
      <c r="A75" s="98" t="s">
        <v>169</v>
      </c>
      <c r="C75" s="151"/>
      <c r="D75" s="151"/>
      <c r="G75" s="132">
        <v>10508</v>
      </c>
      <c r="H75" s="134"/>
      <c r="I75" s="134"/>
      <c r="J75" s="161"/>
      <c r="K75" s="160"/>
      <c r="P75" s="154"/>
      <c r="R75" s="79"/>
      <c r="S75" s="77"/>
    </row>
    <row r="76" spans="1:19">
      <c r="A76" s="98" t="s">
        <v>170</v>
      </c>
      <c r="C76" s="151"/>
      <c r="D76" s="151"/>
      <c r="G76" s="132">
        <v>10284</v>
      </c>
      <c r="H76" s="134"/>
      <c r="I76" s="134"/>
      <c r="J76" s="161"/>
      <c r="K76" s="160"/>
      <c r="P76" s="154"/>
      <c r="R76" s="79"/>
      <c r="S76" s="77"/>
    </row>
    <row r="77" spans="1:19">
      <c r="C77" s="151" t="s">
        <v>171</v>
      </c>
      <c r="D77" s="151"/>
      <c r="G77" s="132">
        <v>10177</v>
      </c>
      <c r="H77" s="134">
        <v>6038</v>
      </c>
      <c r="I77" s="134">
        <f t="shared" ref="I77:I85" si="6">G77+H77+J77+K77</f>
        <v>23406</v>
      </c>
      <c r="J77" s="158">
        <v>4772</v>
      </c>
      <c r="K77" s="159">
        <v>2419</v>
      </c>
      <c r="P77" s="154"/>
      <c r="R77" s="79"/>
      <c r="S77" s="77"/>
    </row>
    <row r="78" customFormat="1" spans="1:19">
      <c r="A78" s="98"/>
      <c r="B78" s="115"/>
      <c r="C78" s="151"/>
      <c r="D78" s="151"/>
      <c r="E78" s="98"/>
      <c r="F78" s="110"/>
      <c r="G78" s="133">
        <v>9958</v>
      </c>
      <c r="H78" s="158">
        <v>4658</v>
      </c>
      <c r="I78" s="134">
        <f t="shared" si="6"/>
        <v>21062</v>
      </c>
      <c r="J78" s="158">
        <v>4572</v>
      </c>
      <c r="K78" s="159">
        <v>1874</v>
      </c>
      <c r="L78" s="110"/>
      <c r="M78" s="110"/>
      <c r="N78" s="110"/>
      <c r="O78" s="98"/>
      <c r="P78" s="154" t="s">
        <v>172</v>
      </c>
      <c r="Q78" s="98"/>
      <c r="R78" s="79"/>
      <c r="S78" s="77"/>
    </row>
    <row r="79" customFormat="1" spans="1:19">
      <c r="A79" s="98"/>
      <c r="B79" s="115"/>
      <c r="C79" s="151">
        <v>2070</v>
      </c>
      <c r="D79" s="151"/>
      <c r="E79" s="98"/>
      <c r="F79" s="110"/>
      <c r="G79" s="133">
        <v>9108</v>
      </c>
      <c r="H79" s="134">
        <v>5189</v>
      </c>
      <c r="I79" s="134">
        <f t="shared" si="6"/>
        <v>20720</v>
      </c>
      <c r="J79" s="158">
        <v>4319</v>
      </c>
      <c r="K79" s="159">
        <v>2104</v>
      </c>
      <c r="L79" s="110"/>
      <c r="M79" s="110"/>
      <c r="N79" s="110"/>
      <c r="O79" s="98"/>
      <c r="P79" s="154"/>
      <c r="Q79" s="115"/>
      <c r="R79" s="79"/>
      <c r="S79" s="77"/>
    </row>
    <row r="80" customFormat="1" spans="1:19">
      <c r="A80" s="98"/>
      <c r="B80" s="115"/>
      <c r="C80" s="151"/>
      <c r="D80" s="151"/>
      <c r="E80" s="98"/>
      <c r="F80" s="110"/>
      <c r="G80" s="133">
        <v>9672</v>
      </c>
      <c r="H80" s="158">
        <v>4514</v>
      </c>
      <c r="I80" s="134">
        <f t="shared" si="6"/>
        <v>20420</v>
      </c>
      <c r="J80" s="158">
        <v>4417</v>
      </c>
      <c r="K80" s="159">
        <v>1817</v>
      </c>
      <c r="L80" s="110"/>
      <c r="M80" s="110"/>
      <c r="N80" s="110"/>
      <c r="O80" s="98"/>
      <c r="P80" s="154" t="s">
        <v>173</v>
      </c>
      <c r="Q80" s="115"/>
      <c r="R80" s="79"/>
      <c r="S80" s="77"/>
    </row>
    <row r="81" customFormat="1" spans="1:19">
      <c r="A81" s="98"/>
      <c r="B81" s="115"/>
      <c r="C81" s="151"/>
      <c r="D81" s="151" t="s">
        <v>174</v>
      </c>
      <c r="E81" s="98"/>
      <c r="F81" s="110"/>
      <c r="G81" s="133">
        <v>8924</v>
      </c>
      <c r="H81" s="134">
        <v>5141</v>
      </c>
      <c r="I81" s="134">
        <f t="shared" si="6"/>
        <v>20121</v>
      </c>
      <c r="J81" s="158">
        <v>4096</v>
      </c>
      <c r="K81" s="159">
        <v>1960</v>
      </c>
      <c r="L81" s="110"/>
      <c r="M81" s="110"/>
      <c r="N81" s="110"/>
      <c r="O81" s="98"/>
      <c r="P81" s="154"/>
      <c r="Q81" s="115"/>
      <c r="R81" s="79"/>
      <c r="S81" s="77"/>
    </row>
    <row r="82" customFormat="1" spans="1:19">
      <c r="A82" s="98"/>
      <c r="B82" s="115"/>
      <c r="C82" s="151"/>
      <c r="D82" s="151" t="s">
        <v>175</v>
      </c>
      <c r="E82" s="98"/>
      <c r="F82" s="110"/>
      <c r="G82" s="133">
        <v>8783</v>
      </c>
      <c r="H82" s="134">
        <v>5141</v>
      </c>
      <c r="I82" s="158">
        <f t="shared" si="6"/>
        <v>19980</v>
      </c>
      <c r="J82" s="158">
        <v>4096</v>
      </c>
      <c r="K82" s="159">
        <v>1960</v>
      </c>
      <c r="L82" s="110"/>
      <c r="M82" s="110"/>
      <c r="N82" s="110"/>
      <c r="O82" s="98"/>
      <c r="P82" s="154"/>
      <c r="Q82" s="115"/>
      <c r="R82" s="79"/>
      <c r="S82" s="77"/>
    </row>
    <row r="83" customFormat="1" spans="1:19">
      <c r="A83" s="98"/>
      <c r="B83" s="115"/>
      <c r="C83" s="151" t="s">
        <v>176</v>
      </c>
      <c r="D83" s="151"/>
      <c r="E83" s="98"/>
      <c r="F83" s="110"/>
      <c r="G83" s="133">
        <v>8752</v>
      </c>
      <c r="H83" s="134">
        <v>5071</v>
      </c>
      <c r="I83" s="158">
        <f t="shared" si="6"/>
        <v>19980</v>
      </c>
      <c r="J83" s="158">
        <v>4142</v>
      </c>
      <c r="K83" s="159">
        <v>2015</v>
      </c>
      <c r="L83" s="110"/>
      <c r="M83" s="110"/>
      <c r="N83" s="110"/>
      <c r="O83" s="98"/>
      <c r="P83" s="154"/>
      <c r="Q83" s="115"/>
      <c r="R83" s="79"/>
      <c r="S83" s="77"/>
    </row>
    <row r="84" spans="1:19">
      <c r="B84" s="151" t="s">
        <v>177</v>
      </c>
      <c r="C84" s="151"/>
      <c r="D84" s="151"/>
      <c r="G84" s="133">
        <v>9988</v>
      </c>
      <c r="H84" s="159">
        <v>2212</v>
      </c>
      <c r="I84" s="158">
        <f t="shared" si="6"/>
        <v>19134</v>
      </c>
      <c r="J84" s="158">
        <v>4706</v>
      </c>
      <c r="K84" s="159">
        <v>2228</v>
      </c>
      <c r="P84" s="154"/>
      <c r="Q84" s="115"/>
      <c r="R84" s="79"/>
      <c r="S84" s="77"/>
    </row>
    <row r="85" spans="1:19">
      <c r="B85" s="151"/>
      <c r="C85" s="151" t="s">
        <v>178</v>
      </c>
      <c r="D85" s="151"/>
      <c r="G85" s="133">
        <v>8025</v>
      </c>
      <c r="H85" s="134">
        <v>5011</v>
      </c>
      <c r="I85" s="158">
        <f t="shared" si="6"/>
        <v>18472</v>
      </c>
      <c r="J85" s="158">
        <v>3600</v>
      </c>
      <c r="K85" s="159">
        <v>1836</v>
      </c>
      <c r="P85" s="154"/>
      <c r="Q85" s="115"/>
      <c r="R85" s="79"/>
      <c r="S85" s="77"/>
    </row>
    <row r="86" spans="1:19">
      <c r="B86" s="151"/>
      <c r="C86" s="151"/>
      <c r="D86" s="151" t="s">
        <v>179</v>
      </c>
      <c r="G86" s="134">
        <v>7361</v>
      </c>
      <c r="H86" s="158">
        <v>4708</v>
      </c>
      <c r="I86" s="158">
        <f t="shared" ref="I86:I91" si="7">G86+H86+J86+K86</f>
        <v>17842</v>
      </c>
      <c r="J86" s="158">
        <v>3951</v>
      </c>
      <c r="K86" s="159">
        <v>1822</v>
      </c>
      <c r="P86" s="154"/>
      <c r="Q86" s="115"/>
      <c r="R86" s="79"/>
      <c r="S86" s="77"/>
    </row>
    <row r="87" spans="1:19">
      <c r="B87" s="151"/>
      <c r="C87" s="151"/>
      <c r="D87" s="151"/>
      <c r="G87" s="133">
        <v>8130</v>
      </c>
      <c r="H87" s="158">
        <v>3757</v>
      </c>
      <c r="I87" s="158">
        <f t="shared" si="7"/>
        <v>17107</v>
      </c>
      <c r="J87" s="158">
        <v>3716</v>
      </c>
      <c r="K87" s="159">
        <v>1504</v>
      </c>
      <c r="P87" s="154">
        <v>6600</v>
      </c>
      <c r="Q87" s="115"/>
      <c r="R87" s="79"/>
      <c r="S87" s="77"/>
    </row>
    <row r="88" spans="1:19">
      <c r="B88" s="151"/>
      <c r="C88" s="151">
        <v>2060</v>
      </c>
      <c r="D88" s="151"/>
      <c r="G88" s="133">
        <v>7583</v>
      </c>
      <c r="H88" s="158">
        <v>4146</v>
      </c>
      <c r="I88" s="158">
        <f t="shared" si="7"/>
        <v>16967</v>
      </c>
      <c r="J88" s="158">
        <v>3515</v>
      </c>
      <c r="K88" s="159">
        <v>1723</v>
      </c>
      <c r="P88" s="154"/>
      <c r="Q88" s="115"/>
      <c r="R88" s="79"/>
      <c r="S88" s="77"/>
    </row>
    <row r="89" spans="1:19">
      <c r="B89" s="151"/>
      <c r="C89" s="151"/>
      <c r="D89" s="151"/>
      <c r="G89" s="133">
        <v>9428</v>
      </c>
      <c r="H89" s="164">
        <v>0</v>
      </c>
      <c r="I89" s="158">
        <f t="shared" si="7"/>
        <v>15979</v>
      </c>
      <c r="J89" s="158">
        <v>4396</v>
      </c>
      <c r="K89" s="159">
        <v>2155</v>
      </c>
      <c r="P89" s="154"/>
      <c r="Q89" s="154" t="s">
        <v>180</v>
      </c>
      <c r="R89" s="79"/>
      <c r="S89" s="77"/>
    </row>
    <row r="90" spans="1:19">
      <c r="B90" s="151">
        <v>1080</v>
      </c>
      <c r="C90" s="151"/>
      <c r="D90" s="151"/>
      <c r="G90" s="133">
        <v>7597</v>
      </c>
      <c r="H90" s="159">
        <v>1639</v>
      </c>
      <c r="I90" s="158">
        <f t="shared" si="7"/>
        <v>14303</v>
      </c>
      <c r="J90" s="158">
        <v>3441</v>
      </c>
      <c r="K90" s="159">
        <v>1626</v>
      </c>
      <c r="P90" s="154"/>
      <c r="Q90" s="154"/>
      <c r="R90" s="79"/>
      <c r="S90" s="77"/>
    </row>
    <row r="91" customFormat="1" spans="1:19">
      <c r="A91" s="98"/>
      <c r="B91" s="151"/>
      <c r="C91" s="151"/>
      <c r="D91" s="151"/>
      <c r="E91" s="98"/>
      <c r="F91" s="110"/>
      <c r="G91" s="133">
        <v>8295</v>
      </c>
      <c r="H91" s="164">
        <v>0</v>
      </c>
      <c r="I91" s="158">
        <f t="shared" si="7"/>
        <v>14298</v>
      </c>
      <c r="J91" s="158">
        <v>3963</v>
      </c>
      <c r="K91" s="159">
        <v>2040</v>
      </c>
      <c r="L91" s="110"/>
      <c r="M91" s="110"/>
      <c r="N91" s="110"/>
      <c r="O91" s="98"/>
      <c r="P91" s="154"/>
      <c r="Q91" s="154"/>
      <c r="R91" s="79"/>
      <c r="S91" s="68" t="s">
        <v>181</v>
      </c>
    </row>
    <row r="92" spans="1:19">
      <c r="B92" s="151"/>
      <c r="C92" s="151"/>
      <c r="D92" s="151"/>
      <c r="G92" s="133">
        <v>8369</v>
      </c>
      <c r="H92" s="164">
        <v>0</v>
      </c>
      <c r="I92" s="158">
        <f t="shared" ref="I92:I122" si="8">G92+H92+J92+K92</f>
        <v>14239</v>
      </c>
      <c r="J92" s="158">
        <v>3994</v>
      </c>
      <c r="K92" s="159">
        <v>1876</v>
      </c>
      <c r="P92" s="154"/>
      <c r="Q92" s="154">
        <v>5700</v>
      </c>
      <c r="R92" s="79"/>
      <c r="S92" s="77"/>
    </row>
    <row r="93" spans="1:19">
      <c r="B93" s="151"/>
      <c r="C93" s="151"/>
      <c r="D93" s="151">
        <v>3050</v>
      </c>
      <c r="G93" s="134">
        <v>6216</v>
      </c>
      <c r="H93" s="158">
        <v>3531</v>
      </c>
      <c r="I93" s="158">
        <f t="shared" si="8"/>
        <v>13899</v>
      </c>
      <c r="J93" s="158">
        <v>2825</v>
      </c>
      <c r="K93" s="159">
        <v>1327</v>
      </c>
      <c r="P93" s="154"/>
      <c r="Q93" s="154"/>
      <c r="R93" s="79"/>
      <c r="S93" s="77"/>
    </row>
    <row r="94" spans="1:19">
      <c r="B94" s="151" t="s">
        <v>182</v>
      </c>
      <c r="C94" s="151"/>
      <c r="D94" s="151"/>
      <c r="G94" s="134">
        <v>6846</v>
      </c>
      <c r="H94" s="159">
        <v>1506</v>
      </c>
      <c r="I94" s="158">
        <f t="shared" si="8"/>
        <v>12969</v>
      </c>
      <c r="J94" s="158">
        <v>3149</v>
      </c>
      <c r="K94" s="159">
        <v>1468</v>
      </c>
      <c r="P94" s="154"/>
      <c r="Q94" s="154"/>
      <c r="R94" s="79"/>
      <c r="S94" s="77"/>
    </row>
    <row r="95" spans="1:19">
      <c r="B95" s="151"/>
      <c r="C95" s="151"/>
      <c r="D95" s="151"/>
      <c r="G95" s="133">
        <v>7633</v>
      </c>
      <c r="H95" s="164">
        <v>0</v>
      </c>
      <c r="I95" s="158">
        <f t="shared" si="8"/>
        <v>12863</v>
      </c>
      <c r="J95" s="158">
        <v>3561</v>
      </c>
      <c r="K95" s="159">
        <v>1669</v>
      </c>
      <c r="P95" s="154"/>
      <c r="Q95" s="154" t="s">
        <v>183</v>
      </c>
      <c r="R95" s="79"/>
      <c r="S95" s="77"/>
    </row>
    <row r="96" spans="1:19">
      <c r="B96" s="151"/>
      <c r="C96" s="151" t="s">
        <v>184</v>
      </c>
      <c r="D96" s="151"/>
      <c r="G96" s="134">
        <v>6353</v>
      </c>
      <c r="H96" s="159">
        <v>1658</v>
      </c>
      <c r="I96" s="158">
        <f t="shared" si="8"/>
        <v>12200</v>
      </c>
      <c r="J96" s="158">
        <v>2884</v>
      </c>
      <c r="K96" s="159">
        <v>1305</v>
      </c>
      <c r="P96" s="154"/>
      <c r="Q96" s="154"/>
      <c r="R96" s="79"/>
      <c r="S96" s="77"/>
    </row>
    <row r="97" spans="2:19">
      <c r="B97" s="151"/>
      <c r="C97" s="151" t="s">
        <v>185</v>
      </c>
      <c r="D97" s="151"/>
      <c r="G97" s="134">
        <v>6054</v>
      </c>
      <c r="H97" s="159">
        <v>1561</v>
      </c>
      <c r="I97" s="158">
        <f t="shared" si="8"/>
        <v>11699</v>
      </c>
      <c r="J97" s="158">
        <v>2803</v>
      </c>
      <c r="K97" s="159">
        <v>1281</v>
      </c>
      <c r="P97" s="154"/>
      <c r="Q97" s="154"/>
      <c r="R97" s="79"/>
      <c r="S97" s="77"/>
    </row>
    <row r="98" spans="2:19">
      <c r="B98" s="151">
        <v>1070</v>
      </c>
      <c r="C98" s="151"/>
      <c r="D98" s="151"/>
      <c r="G98" s="134">
        <v>6093</v>
      </c>
      <c r="H98" s="159">
        <v>1250</v>
      </c>
      <c r="I98" s="158">
        <f t="shared" si="8"/>
        <v>11529</v>
      </c>
      <c r="J98" s="158">
        <v>2847</v>
      </c>
      <c r="K98" s="159">
        <v>1339</v>
      </c>
      <c r="P98" s="154"/>
      <c r="Q98" s="154"/>
      <c r="R98" s="79"/>
      <c r="S98" s="77"/>
    </row>
    <row r="99" spans="2:19">
      <c r="B99" s="151"/>
      <c r="C99" s="151">
        <v>1660</v>
      </c>
      <c r="D99" s="151"/>
      <c r="G99" s="134">
        <v>5447</v>
      </c>
      <c r="H99" s="159">
        <v>1400</v>
      </c>
      <c r="I99" s="158">
        <f t="shared" si="8"/>
        <v>10377</v>
      </c>
      <c r="J99" s="159">
        <v>2466</v>
      </c>
      <c r="K99" s="159">
        <v>1064</v>
      </c>
      <c r="P99" s="154"/>
      <c r="Q99" s="154"/>
      <c r="R99" s="79"/>
      <c r="S99" s="77"/>
    </row>
    <row r="100" spans="2:19">
      <c r="B100" s="151"/>
      <c r="C100" s="151"/>
      <c r="D100" s="151" t="s">
        <v>186</v>
      </c>
      <c r="G100" s="158">
        <v>4832</v>
      </c>
      <c r="H100" s="159">
        <v>2303</v>
      </c>
      <c r="I100" s="158">
        <f t="shared" si="8"/>
        <v>10207</v>
      </c>
      <c r="J100" s="159">
        <v>2108</v>
      </c>
      <c r="K100" s="164">
        <v>964</v>
      </c>
      <c r="P100" s="154"/>
      <c r="Q100" s="154"/>
      <c r="R100" s="79"/>
      <c r="S100" s="77"/>
    </row>
    <row r="101" spans="2:19">
      <c r="B101" s="151"/>
      <c r="C101" s="151"/>
      <c r="D101" s="115"/>
      <c r="G101" s="158">
        <v>4961</v>
      </c>
      <c r="H101" s="164">
        <v>369</v>
      </c>
      <c r="I101" s="159">
        <f t="shared" si="8"/>
        <v>8617</v>
      </c>
      <c r="J101" s="159">
        <v>2288</v>
      </c>
      <c r="K101" s="164">
        <v>999</v>
      </c>
      <c r="P101" s="154" t="s">
        <v>187</v>
      </c>
      <c r="Q101" s="154"/>
      <c r="R101" s="79"/>
      <c r="S101" s="77"/>
    </row>
    <row r="102" spans="2:19">
      <c r="B102" s="151"/>
      <c r="C102" s="151"/>
      <c r="D102" s="115"/>
      <c r="G102" s="158">
        <v>4860</v>
      </c>
      <c r="H102" s="164">
        <v>0</v>
      </c>
      <c r="I102" s="159">
        <f t="shared" si="8"/>
        <v>7987</v>
      </c>
      <c r="J102" s="159">
        <v>2142</v>
      </c>
      <c r="K102" s="164">
        <v>985</v>
      </c>
      <c r="P102" s="154"/>
      <c r="Q102" s="154" t="s">
        <v>188</v>
      </c>
      <c r="R102" s="79"/>
      <c r="S102" s="77"/>
    </row>
    <row r="103" spans="2:19">
      <c r="B103" s="151"/>
      <c r="C103" s="151"/>
      <c r="G103" s="158">
        <v>4358</v>
      </c>
      <c r="H103" s="159">
        <v>1573</v>
      </c>
      <c r="I103" s="159">
        <f t="shared" si="8"/>
        <v>8870</v>
      </c>
      <c r="J103" s="159">
        <v>2033</v>
      </c>
      <c r="K103" s="164">
        <v>906</v>
      </c>
      <c r="P103" s="154"/>
      <c r="Q103" s="154"/>
      <c r="R103" s="79" t="s">
        <v>189</v>
      </c>
      <c r="S103" s="77"/>
    </row>
    <row r="104" spans="2:19">
      <c r="B104" s="151"/>
      <c r="C104" s="151"/>
      <c r="G104" s="158">
        <v>4791</v>
      </c>
      <c r="H104" s="164">
        <v>0</v>
      </c>
      <c r="I104" s="159">
        <f t="shared" si="8"/>
        <v>7849</v>
      </c>
      <c r="J104" s="159">
        <v>2099</v>
      </c>
      <c r="K104" s="164">
        <v>959</v>
      </c>
      <c r="P104" s="154"/>
      <c r="Q104" s="154">
        <v>5500</v>
      </c>
      <c r="S104" s="77"/>
    </row>
    <row r="105" spans="2:19">
      <c r="B105" s="151" t="s">
        <v>190</v>
      </c>
      <c r="C105" s="151"/>
      <c r="G105" s="158">
        <v>4203</v>
      </c>
      <c r="H105" s="164">
        <v>817</v>
      </c>
      <c r="I105" s="159">
        <f t="shared" si="8"/>
        <v>7844</v>
      </c>
      <c r="J105" s="159">
        <v>1918</v>
      </c>
      <c r="K105" s="164">
        <v>906</v>
      </c>
      <c r="P105" s="154"/>
      <c r="Q105" s="154"/>
      <c r="S105" s="77"/>
    </row>
    <row r="106" spans="2:19">
      <c r="B106" s="151"/>
      <c r="C106" s="151"/>
      <c r="G106" s="158">
        <v>4779</v>
      </c>
      <c r="H106" s="164">
        <v>0</v>
      </c>
      <c r="I106" s="159">
        <f t="shared" si="8"/>
        <v>7808</v>
      </c>
      <c r="J106" s="159">
        <v>2087</v>
      </c>
      <c r="K106" s="164">
        <v>942</v>
      </c>
      <c r="P106" s="154"/>
      <c r="Q106" s="154">
        <v>590</v>
      </c>
      <c r="S106" s="77"/>
    </row>
    <row r="107" spans="2:19">
      <c r="B107" s="151"/>
      <c r="C107" s="151" t="s">
        <v>191</v>
      </c>
      <c r="G107" s="158">
        <v>4698</v>
      </c>
      <c r="H107" s="164">
        <v>0</v>
      </c>
      <c r="I107" s="159">
        <f t="shared" si="8"/>
        <v>7772</v>
      </c>
      <c r="J107" s="159">
        <v>2071</v>
      </c>
      <c r="K107" s="159">
        <v>1003</v>
      </c>
      <c r="P107" s="154"/>
      <c r="Q107" s="154"/>
      <c r="S107" s="77"/>
    </row>
    <row r="108" spans="2:19">
      <c r="B108" s="151"/>
      <c r="C108" s="151"/>
      <c r="G108" s="158">
        <v>4354</v>
      </c>
      <c r="H108" s="164">
        <v>0</v>
      </c>
      <c r="I108" s="159">
        <f t="shared" si="8"/>
        <v>7303</v>
      </c>
      <c r="J108" s="159">
        <v>1946</v>
      </c>
      <c r="K108" s="159">
        <v>1003</v>
      </c>
      <c r="P108" s="154"/>
      <c r="Q108" s="154">
        <v>580</v>
      </c>
    </row>
    <row r="109" spans="2:19">
      <c r="B109" s="151" t="s">
        <v>192</v>
      </c>
      <c r="C109" s="151"/>
      <c r="G109" s="158">
        <v>3907</v>
      </c>
      <c r="H109" s="164">
        <v>0</v>
      </c>
      <c r="I109" s="159">
        <f t="shared" si="8"/>
        <v>6477</v>
      </c>
      <c r="J109" s="159">
        <v>1759</v>
      </c>
      <c r="K109" s="164">
        <v>811</v>
      </c>
      <c r="P109" s="154"/>
      <c r="Q109" s="154"/>
    </row>
    <row r="110" spans="2:19">
      <c r="B110" s="151"/>
      <c r="C110" s="151"/>
      <c r="G110" s="158">
        <v>3854</v>
      </c>
      <c r="H110" s="164">
        <v>0</v>
      </c>
      <c r="I110" s="159">
        <f t="shared" si="8"/>
        <v>6152</v>
      </c>
      <c r="J110" s="159">
        <v>1697</v>
      </c>
      <c r="K110" s="164">
        <v>601</v>
      </c>
      <c r="P110" s="154"/>
      <c r="Q110" s="154">
        <v>570</v>
      </c>
    </row>
    <row r="111" spans="2:19">
      <c r="B111" s="151" t="s">
        <v>193</v>
      </c>
      <c r="C111" s="151"/>
      <c r="G111" s="158">
        <v>3865</v>
      </c>
      <c r="H111" s="164">
        <v>0</v>
      </c>
      <c r="I111" s="159">
        <f t="shared" si="8"/>
        <v>5801</v>
      </c>
      <c r="J111" s="159">
        <v>1777</v>
      </c>
      <c r="K111" s="164">
        <v>159</v>
      </c>
      <c r="P111" s="154"/>
      <c r="Q111" s="154"/>
    </row>
    <row r="112" spans="2:19">
      <c r="B112" s="151"/>
      <c r="C112" s="151"/>
      <c r="G112" s="158">
        <v>3593</v>
      </c>
      <c r="H112" s="164">
        <v>268</v>
      </c>
      <c r="I112" s="159">
        <f t="shared" si="8"/>
        <v>5696</v>
      </c>
      <c r="J112" s="159">
        <v>1659</v>
      </c>
      <c r="K112" s="164">
        <v>176</v>
      </c>
      <c r="P112" s="154">
        <v>6400</v>
      </c>
      <c r="Q112" s="154"/>
    </row>
    <row r="113" spans="2:17">
      <c r="B113" s="151"/>
      <c r="C113" s="151">
        <v>1650</v>
      </c>
      <c r="G113" s="158">
        <v>3567</v>
      </c>
      <c r="H113" s="164">
        <v>0</v>
      </c>
      <c r="I113" s="159">
        <f t="shared" si="8"/>
        <v>5494</v>
      </c>
      <c r="J113" s="159">
        <v>1595</v>
      </c>
      <c r="K113" s="164">
        <v>332</v>
      </c>
      <c r="P113" s="154"/>
      <c r="Q113" s="154"/>
    </row>
    <row r="114" spans="2:17">
      <c r="B114" s="151"/>
      <c r="C114" s="151"/>
      <c r="G114" s="158">
        <v>3555</v>
      </c>
      <c r="H114" s="164">
        <v>0</v>
      </c>
      <c r="I114" s="159">
        <f t="shared" si="8"/>
        <v>5328</v>
      </c>
      <c r="J114" s="159">
        <v>1341</v>
      </c>
      <c r="K114" s="164">
        <v>432</v>
      </c>
      <c r="P114" s="154"/>
      <c r="Q114" s="154" t="s">
        <v>194</v>
      </c>
    </row>
    <row r="115" spans="2:17">
      <c r="B115" s="151" t="s">
        <v>195</v>
      </c>
      <c r="C115" s="151"/>
      <c r="G115" s="159">
        <v>2354</v>
      </c>
      <c r="H115" s="164">
        <v>0</v>
      </c>
      <c r="I115" s="164">
        <f t="shared" si="8"/>
        <v>3751</v>
      </c>
      <c r="J115" s="159">
        <v>1095</v>
      </c>
      <c r="K115" s="164">
        <v>302</v>
      </c>
      <c r="P115" s="154"/>
      <c r="Q115" s="154"/>
    </row>
    <row r="116" spans="2:17">
      <c r="B116" s="151"/>
      <c r="C116" s="151"/>
      <c r="G116" s="159">
        <v>2307</v>
      </c>
      <c r="H116" s="164">
        <v>0</v>
      </c>
      <c r="I116" s="164">
        <f t="shared" si="8"/>
        <v>3608</v>
      </c>
      <c r="J116" s="164">
        <v>989</v>
      </c>
      <c r="K116" s="164">
        <v>312</v>
      </c>
      <c r="P116" s="154">
        <v>6300</v>
      </c>
      <c r="Q116" s="154"/>
    </row>
    <row r="117" spans="2:17">
      <c r="B117" s="151"/>
      <c r="C117" s="151">
        <v>1630</v>
      </c>
      <c r="G117" s="159">
        <v>2099</v>
      </c>
      <c r="H117" s="164">
        <v>0</v>
      </c>
      <c r="I117" s="164">
        <f t="shared" si="8"/>
        <v>3343</v>
      </c>
      <c r="J117" s="164">
        <v>955</v>
      </c>
      <c r="K117" s="164">
        <v>289</v>
      </c>
      <c r="Q117" s="154"/>
    </row>
    <row r="118" spans="2:17">
      <c r="B118" s="151"/>
      <c r="G118" s="159">
        <v>1860</v>
      </c>
      <c r="H118" s="164">
        <v>0</v>
      </c>
      <c r="I118" s="164">
        <f t="shared" si="8"/>
        <v>2892</v>
      </c>
      <c r="J118" s="164">
        <v>765</v>
      </c>
      <c r="K118" s="164">
        <v>267</v>
      </c>
      <c r="Q118" s="154">
        <v>560</v>
      </c>
    </row>
    <row r="119" spans="2:17">
      <c r="B119" s="151">
        <v>1050</v>
      </c>
      <c r="G119" s="159">
        <v>1731</v>
      </c>
      <c r="H119" s="164">
        <v>0</v>
      </c>
      <c r="I119" s="164">
        <f t="shared" si="8"/>
        <v>2273</v>
      </c>
      <c r="J119" s="164">
        <v>419</v>
      </c>
      <c r="K119" s="164">
        <v>123</v>
      </c>
      <c r="Q119" s="154"/>
    </row>
    <row r="120" spans="2:17">
      <c r="B120" s="151"/>
      <c r="G120" s="159">
        <v>1194</v>
      </c>
      <c r="H120" s="164">
        <v>0</v>
      </c>
      <c r="I120" s="164">
        <f t="shared" si="8"/>
        <v>1561</v>
      </c>
      <c r="J120" s="164">
        <v>278</v>
      </c>
      <c r="K120" s="164">
        <v>89</v>
      </c>
      <c r="Q120" s="154">
        <v>550</v>
      </c>
    </row>
    <row r="121" spans="2:17">
      <c r="B121" s="151">
        <v>1030</v>
      </c>
      <c r="G121" s="159">
        <v>1087</v>
      </c>
      <c r="H121" s="164">
        <v>0</v>
      </c>
      <c r="I121" s="164">
        <f t="shared" si="8"/>
        <v>1290</v>
      </c>
      <c r="J121" s="164">
        <v>171</v>
      </c>
      <c r="K121" s="164">
        <v>32</v>
      </c>
    </row>
    <row r="122" spans="2:17">
      <c r="B122" s="151">
        <v>1010</v>
      </c>
      <c r="G122" s="164">
        <v>530</v>
      </c>
      <c r="H122" s="164">
        <v>0</v>
      </c>
      <c r="I122" s="164">
        <f t="shared" si="8"/>
        <v>553</v>
      </c>
      <c r="J122" s="164">
        <v>23</v>
      </c>
      <c r="K122" s="164">
        <v>0</v>
      </c>
    </row>
    <row r="123" spans="2:17">
      <c r="H123" s="165"/>
      <c r="I123" s="165"/>
      <c r="J123" s="165"/>
      <c r="K123" s="165"/>
    </row>
    <row r="124" spans="2:17">
      <c r="H124" s="165"/>
      <c r="I124" s="165"/>
      <c r="J124" s="165"/>
      <c r="K124" s="165"/>
    </row>
    <row r="125" spans="2:17">
      <c r="H125" s="165"/>
      <c r="I125" s="165"/>
      <c r="J125" s="165"/>
      <c r="K125" s="165"/>
    </row>
  </sheetData>
  <mergeCells count="5">
    <mergeCell ref="G1:G2"/>
    <mergeCell ref="H1:H2"/>
    <mergeCell ref="I1:I2"/>
    <mergeCell ref="J1:J2"/>
    <mergeCell ref="K1:K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P56"/>
  <sheetViews>
    <sheetView workbookViewId="0">
      <pane xSplit="5" ySplit="2" topLeftCell="F9" activePane="bottomRight" state="frozen"/>
      <selection/>
      <selection pane="topRight"/>
      <selection pane="bottomLeft"/>
      <selection pane="bottomRight" activeCell="D25" sqref="D25"/>
    </sheetView>
  </sheetViews>
  <sheetFormatPr defaultColWidth="9" defaultRowHeight="14.4"/>
  <cols>
    <col min="1" max="1" width="13" customWidth="1"/>
    <col min="2" max="2" width="14" customWidth="1"/>
    <col min="3" max="3" width="15" customWidth="1"/>
    <col min="4" max="4" width="16" customWidth="1"/>
    <col min="5" max="5" width="3" customWidth="1"/>
    <col min="6" max="7" width="8" customWidth="1"/>
    <col min="8" max="8" width="10" customWidth="1"/>
    <col min="9" max="9" width="9" customWidth="1"/>
    <col min="10" max="10" width="3" customWidth="1"/>
    <col min="11" max="12" width="14" customWidth="1"/>
    <col min="13" max="13" width="13" customWidth="1"/>
    <col min="14" max="14" width="3" customWidth="1"/>
    <col min="15" max="15" width="10" customWidth="1"/>
    <col min="16" max="16" width="14" customWidth="1"/>
  </cols>
  <sheetData>
    <row r="1" ht="26" customHeight="1" spans="1:16">
      <c r="A1" s="123" t="s">
        <v>196</v>
      </c>
      <c r="B1" s="123" t="s">
        <v>197</v>
      </c>
      <c r="C1" s="123" t="s">
        <v>197</v>
      </c>
      <c r="D1" s="123" t="s">
        <v>197</v>
      </c>
      <c r="F1" s="124" t="s">
        <v>198</v>
      </c>
      <c r="G1" s="125" t="s">
        <v>199</v>
      </c>
      <c r="H1" s="126" t="s">
        <v>200</v>
      </c>
      <c r="I1" s="127" t="s">
        <v>201</v>
      </c>
      <c r="K1" s="128" t="s">
        <v>97</v>
      </c>
      <c r="L1" s="128" t="s">
        <v>197</v>
      </c>
      <c r="M1" s="128" t="s">
        <v>197</v>
      </c>
      <c r="O1" s="132" t="s">
        <v>202</v>
      </c>
      <c r="P1" s="132" t="s">
        <v>203</v>
      </c>
    </row>
    <row r="2" ht="30" customHeight="1" spans="1:16">
      <c r="A2" s="123" t="s">
        <v>204</v>
      </c>
      <c r="B2" s="123" t="s">
        <v>205</v>
      </c>
      <c r="C2" s="123" t="s">
        <v>206</v>
      </c>
      <c r="D2" s="123" t="s">
        <v>207</v>
      </c>
      <c r="F2" s="124" t="s">
        <v>197</v>
      </c>
      <c r="G2" s="125" t="s">
        <v>197</v>
      </c>
      <c r="H2" s="126" t="s">
        <v>197</v>
      </c>
      <c r="I2" s="127" t="s">
        <v>197</v>
      </c>
      <c r="K2" s="128" t="s">
        <v>208</v>
      </c>
      <c r="L2" s="128" t="s">
        <v>209</v>
      </c>
      <c r="M2" s="128" t="s">
        <v>210</v>
      </c>
      <c r="O2" t="s">
        <v>197</v>
      </c>
      <c r="P2" t="s">
        <v>197</v>
      </c>
    </row>
    <row r="3" spans="1:16">
      <c r="F3" s="129">
        <v>16</v>
      </c>
      <c r="G3" s="129">
        <v>32</v>
      </c>
      <c r="H3" s="129">
        <v>71987</v>
      </c>
      <c r="I3" s="129">
        <v>4664</v>
      </c>
      <c r="M3" t="s">
        <v>211</v>
      </c>
      <c r="O3" s="129" t="s">
        <v>212</v>
      </c>
      <c r="P3" t="s">
        <v>197</v>
      </c>
    </row>
    <row r="4" spans="1:16">
      <c r="F4" s="129">
        <v>16</v>
      </c>
      <c r="G4" s="129">
        <v>32</v>
      </c>
      <c r="H4" s="129">
        <v>70098</v>
      </c>
      <c r="I4" s="129">
        <v>4738</v>
      </c>
      <c r="M4" t="s">
        <v>213</v>
      </c>
      <c r="O4" t="s">
        <v>197</v>
      </c>
      <c r="P4" t="s">
        <v>197</v>
      </c>
    </row>
    <row r="5" spans="1:16">
      <c r="D5" t="s">
        <v>214</v>
      </c>
      <c r="F5" s="129">
        <v>24</v>
      </c>
      <c r="G5" s="129">
        <v>24</v>
      </c>
      <c r="H5" s="129">
        <v>68436</v>
      </c>
      <c r="I5" s="129">
        <v>5071</v>
      </c>
      <c r="O5" t="s">
        <v>197</v>
      </c>
      <c r="P5" t="s">
        <v>197</v>
      </c>
    </row>
    <row r="6" spans="1:16">
      <c r="D6" t="s">
        <v>215</v>
      </c>
      <c r="F6" s="129">
        <v>24</v>
      </c>
      <c r="G6" s="129">
        <v>24</v>
      </c>
      <c r="H6" s="129">
        <v>67233</v>
      </c>
      <c r="I6" s="129">
        <v>5086</v>
      </c>
      <c r="O6" t="s">
        <v>197</v>
      </c>
      <c r="P6" t="s">
        <v>197</v>
      </c>
    </row>
    <row r="7" spans="1:16">
      <c r="F7" s="129">
        <v>16</v>
      </c>
      <c r="G7" s="129">
        <v>32</v>
      </c>
      <c r="H7" s="129">
        <v>65702</v>
      </c>
      <c r="I7" s="129">
        <v>4727</v>
      </c>
      <c r="M7" t="s">
        <v>216</v>
      </c>
      <c r="O7" t="s">
        <v>197</v>
      </c>
      <c r="P7" t="s">
        <v>197</v>
      </c>
    </row>
    <row r="8" spans="1:16">
      <c r="F8" s="129">
        <v>16</v>
      </c>
      <c r="G8" s="129">
        <v>32</v>
      </c>
      <c r="H8" s="129">
        <v>62295</v>
      </c>
      <c r="I8" s="129">
        <v>4144</v>
      </c>
      <c r="L8" t="s">
        <v>217</v>
      </c>
      <c r="O8" t="s">
        <v>197</v>
      </c>
      <c r="P8" t="s">
        <v>197</v>
      </c>
    </row>
    <row r="9" spans="1:16">
      <c r="F9" s="129">
        <v>16</v>
      </c>
      <c r="G9" s="129">
        <v>32</v>
      </c>
      <c r="H9" s="129">
        <v>62132</v>
      </c>
      <c r="I9" s="129">
        <v>4251</v>
      </c>
      <c r="L9" t="s">
        <v>218</v>
      </c>
      <c r="O9" t="s">
        <v>197</v>
      </c>
      <c r="P9" t="s">
        <v>197</v>
      </c>
    </row>
    <row r="10" spans="1:16">
      <c r="B10" t="s">
        <v>219</v>
      </c>
      <c r="F10" s="129">
        <v>24</v>
      </c>
      <c r="G10" s="129">
        <v>32</v>
      </c>
      <c r="H10" s="129">
        <v>60397</v>
      </c>
      <c r="I10" s="129">
        <v>4715</v>
      </c>
      <c r="O10" t="s">
        <v>197</v>
      </c>
      <c r="P10" t="s">
        <v>220</v>
      </c>
    </row>
    <row r="11" spans="1:16">
      <c r="C11" t="s">
        <v>221</v>
      </c>
      <c r="F11" s="129">
        <v>24</v>
      </c>
      <c r="G11" s="129">
        <v>32</v>
      </c>
      <c r="H11" s="129">
        <v>59922</v>
      </c>
      <c r="I11" s="129">
        <v>4808</v>
      </c>
      <c r="O11" t="s">
        <v>197</v>
      </c>
      <c r="P11" t="s">
        <v>220</v>
      </c>
    </row>
    <row r="12" spans="1:16">
      <c r="D12" t="s">
        <v>222</v>
      </c>
      <c r="F12" s="129">
        <v>20</v>
      </c>
      <c r="G12" s="129">
        <v>20</v>
      </c>
      <c r="H12" s="129">
        <v>58580</v>
      </c>
      <c r="I12" s="129">
        <v>4928</v>
      </c>
      <c r="O12" t="s">
        <v>197</v>
      </c>
      <c r="P12" t="s">
        <v>197</v>
      </c>
    </row>
    <row r="13" spans="1:16">
      <c r="C13" t="s">
        <v>223</v>
      </c>
      <c r="F13" s="129">
        <v>24</v>
      </c>
      <c r="G13" s="129">
        <v>32</v>
      </c>
      <c r="H13" s="129">
        <v>58226</v>
      </c>
      <c r="I13" s="129">
        <v>4689</v>
      </c>
      <c r="O13" t="s">
        <v>197</v>
      </c>
      <c r="P13" t="s">
        <v>220</v>
      </c>
    </row>
    <row r="14" spans="1:16">
      <c r="B14" t="s">
        <v>224</v>
      </c>
      <c r="F14" s="130">
        <v>24</v>
      </c>
      <c r="G14" s="130">
        <v>32</v>
      </c>
      <c r="H14" s="130">
        <v>58081</v>
      </c>
      <c r="I14" s="130">
        <v>4595</v>
      </c>
      <c r="O14" s="130" t="s">
        <v>225</v>
      </c>
      <c r="P14" t="s">
        <v>220</v>
      </c>
    </row>
    <row r="15" spans="1:16">
      <c r="F15" s="130">
        <v>12</v>
      </c>
      <c r="G15" s="130">
        <v>24</v>
      </c>
      <c r="H15" s="130">
        <v>56052</v>
      </c>
      <c r="I15" s="130">
        <v>4629</v>
      </c>
      <c r="M15" t="s">
        <v>226</v>
      </c>
      <c r="O15" t="s">
        <v>197</v>
      </c>
      <c r="P15" t="s">
        <v>197</v>
      </c>
    </row>
    <row r="16" spans="1:16">
      <c r="F16" s="130">
        <v>12</v>
      </c>
      <c r="G16" s="130">
        <v>24</v>
      </c>
      <c r="H16" s="130">
        <v>54314</v>
      </c>
      <c r="I16" s="130">
        <v>4672</v>
      </c>
      <c r="M16" t="s">
        <v>227</v>
      </c>
      <c r="O16" t="s">
        <v>197</v>
      </c>
      <c r="P16" t="s">
        <v>197</v>
      </c>
    </row>
    <row r="17" spans="1:16">
      <c r="C17" t="s">
        <v>228</v>
      </c>
      <c r="F17" s="130">
        <v>20</v>
      </c>
      <c r="G17" s="130">
        <v>28</v>
      </c>
      <c r="H17" s="130">
        <v>51933</v>
      </c>
      <c r="I17" s="130">
        <v>4454</v>
      </c>
      <c r="O17" t="s">
        <v>197</v>
      </c>
      <c r="P17" t="s">
        <v>220</v>
      </c>
    </row>
    <row r="18" spans="1:16">
      <c r="D18" t="s">
        <v>229</v>
      </c>
      <c r="F18" s="130">
        <v>18</v>
      </c>
      <c r="G18" s="130">
        <v>18</v>
      </c>
      <c r="H18" s="130">
        <v>51911</v>
      </c>
      <c r="I18" s="130">
        <v>4789</v>
      </c>
      <c r="O18" t="s">
        <v>197</v>
      </c>
      <c r="P18" t="s">
        <v>197</v>
      </c>
    </row>
    <row r="19" spans="1:16">
      <c r="F19" s="130">
        <v>12</v>
      </c>
      <c r="G19" s="130">
        <v>24</v>
      </c>
      <c r="H19" s="130">
        <v>51224</v>
      </c>
      <c r="I19" s="130">
        <v>4226</v>
      </c>
      <c r="L19" t="s">
        <v>230</v>
      </c>
      <c r="O19" t="s">
        <v>197</v>
      </c>
      <c r="P19" t="s">
        <v>197</v>
      </c>
    </row>
    <row r="20" spans="1:16">
      <c r="F20" s="130">
        <v>12</v>
      </c>
      <c r="G20" s="130">
        <v>24</v>
      </c>
      <c r="H20" s="130">
        <v>50200</v>
      </c>
      <c r="I20" s="130">
        <v>4118</v>
      </c>
      <c r="L20" t="s">
        <v>231</v>
      </c>
      <c r="O20" t="s">
        <v>197</v>
      </c>
      <c r="P20" t="s">
        <v>197</v>
      </c>
    </row>
    <row r="21" spans="1:16">
      <c r="B21" t="s">
        <v>232</v>
      </c>
      <c r="F21" s="130">
        <v>16</v>
      </c>
      <c r="G21" s="130">
        <v>24</v>
      </c>
      <c r="H21" s="130">
        <v>45610</v>
      </c>
      <c r="I21" s="130">
        <v>4326</v>
      </c>
      <c r="O21" t="s">
        <v>197</v>
      </c>
      <c r="P21" t="s">
        <v>220</v>
      </c>
    </row>
    <row r="22" spans="1:16">
      <c r="F22" s="130">
        <v>16</v>
      </c>
      <c r="G22" s="130">
        <v>32</v>
      </c>
      <c r="H22" s="130">
        <v>45255</v>
      </c>
      <c r="I22" s="130">
        <v>3476</v>
      </c>
      <c r="K22" t="s">
        <v>233</v>
      </c>
      <c r="O22" t="s">
        <v>197</v>
      </c>
      <c r="P22" t="s">
        <v>197</v>
      </c>
    </row>
    <row r="23" spans="1:16">
      <c r="D23" t="s">
        <v>234</v>
      </c>
      <c r="F23" s="130">
        <v>14</v>
      </c>
      <c r="G23" s="130">
        <v>14</v>
      </c>
      <c r="H23" s="130">
        <v>43055</v>
      </c>
      <c r="I23" s="130">
        <v>4715</v>
      </c>
      <c r="O23" t="s">
        <v>197</v>
      </c>
      <c r="P23" t="s">
        <v>197</v>
      </c>
    </row>
    <row r="24" spans="1:16">
      <c r="F24" s="130">
        <v>8</v>
      </c>
      <c r="G24" s="130">
        <v>16</v>
      </c>
      <c r="H24" s="130">
        <v>41310</v>
      </c>
      <c r="I24" s="130">
        <v>4704</v>
      </c>
      <c r="M24" t="s">
        <v>235</v>
      </c>
      <c r="O24" t="s">
        <v>197</v>
      </c>
      <c r="P24" t="s">
        <v>197</v>
      </c>
    </row>
    <row r="25" spans="1:16">
      <c r="A25" t="s">
        <v>236</v>
      </c>
      <c r="F25" s="131">
        <v>16</v>
      </c>
      <c r="G25" s="131">
        <v>24</v>
      </c>
      <c r="H25" s="131">
        <v>41110</v>
      </c>
      <c r="I25" s="131">
        <v>4128</v>
      </c>
      <c r="O25" s="131" t="s">
        <v>237</v>
      </c>
      <c r="P25" t="s">
        <v>197</v>
      </c>
    </row>
    <row r="26" spans="1:16">
      <c r="F26" s="131">
        <v>8</v>
      </c>
      <c r="G26" s="131">
        <v>16</v>
      </c>
      <c r="H26" s="131">
        <v>39928</v>
      </c>
      <c r="I26" s="131">
        <v>4421</v>
      </c>
      <c r="M26" t="s">
        <v>238</v>
      </c>
      <c r="O26" t="s">
        <v>197</v>
      </c>
      <c r="P26" t="s">
        <v>197</v>
      </c>
    </row>
    <row r="27" spans="1:16">
      <c r="F27" s="131">
        <v>12</v>
      </c>
      <c r="G27" s="131">
        <v>24</v>
      </c>
      <c r="H27" s="131">
        <v>38886</v>
      </c>
      <c r="I27" s="131">
        <v>3465</v>
      </c>
      <c r="K27" t="s">
        <v>239</v>
      </c>
      <c r="O27" t="s">
        <v>197</v>
      </c>
      <c r="P27" t="s">
        <v>197</v>
      </c>
    </row>
    <row r="28" spans="1:16">
      <c r="C28" t="s">
        <v>240</v>
      </c>
      <c r="F28" s="131">
        <v>14</v>
      </c>
      <c r="G28" s="131">
        <v>20</v>
      </c>
      <c r="H28" s="131">
        <v>38408</v>
      </c>
      <c r="I28" s="131">
        <v>4268</v>
      </c>
      <c r="O28" t="s">
        <v>197</v>
      </c>
      <c r="P28" t="s">
        <v>220</v>
      </c>
    </row>
    <row r="29" spans="1:16">
      <c r="B29" t="s">
        <v>241</v>
      </c>
      <c r="F29" s="131">
        <v>14</v>
      </c>
      <c r="G29" s="131">
        <v>20</v>
      </c>
      <c r="H29" s="131">
        <v>37459</v>
      </c>
      <c r="I29" s="131">
        <v>4111</v>
      </c>
      <c r="O29" t="s">
        <v>197</v>
      </c>
      <c r="P29" t="s">
        <v>220</v>
      </c>
    </row>
    <row r="30" spans="1:16">
      <c r="F30" s="131">
        <v>8</v>
      </c>
      <c r="G30" s="131">
        <v>16</v>
      </c>
      <c r="H30" s="131">
        <v>36951</v>
      </c>
      <c r="I30" s="131">
        <v>4643</v>
      </c>
      <c r="M30" t="s">
        <v>242</v>
      </c>
      <c r="O30" t="s">
        <v>197</v>
      </c>
      <c r="P30" t="s">
        <v>197</v>
      </c>
    </row>
    <row r="31" spans="1:16">
      <c r="F31" s="131">
        <v>8</v>
      </c>
      <c r="G31" s="131">
        <v>16</v>
      </c>
      <c r="H31" s="131">
        <v>34321</v>
      </c>
      <c r="I31" s="131">
        <v>4050</v>
      </c>
      <c r="L31" t="s">
        <v>243</v>
      </c>
      <c r="O31" t="s">
        <v>197</v>
      </c>
      <c r="P31" t="s">
        <v>197</v>
      </c>
    </row>
    <row r="32" spans="1:16">
      <c r="F32" s="131">
        <v>8</v>
      </c>
      <c r="G32" s="131">
        <v>16</v>
      </c>
      <c r="H32" s="131">
        <v>34279</v>
      </c>
      <c r="I32" s="131">
        <v>3759</v>
      </c>
      <c r="L32" t="s">
        <v>244</v>
      </c>
      <c r="O32" t="s">
        <v>197</v>
      </c>
      <c r="P32" t="s">
        <v>197</v>
      </c>
    </row>
    <row r="33" spans="1:16">
      <c r="A33" t="s">
        <v>245</v>
      </c>
      <c r="F33" s="131">
        <v>12</v>
      </c>
      <c r="G33" s="131">
        <v>20</v>
      </c>
      <c r="H33" s="131">
        <v>34251</v>
      </c>
      <c r="I33" s="131">
        <v>4003</v>
      </c>
      <c r="O33" t="s">
        <v>197</v>
      </c>
      <c r="P33" t="s">
        <v>197</v>
      </c>
    </row>
    <row r="34" spans="1:16">
      <c r="D34" t="s">
        <v>246</v>
      </c>
      <c r="F34" s="131">
        <v>10</v>
      </c>
      <c r="G34" s="131">
        <v>10</v>
      </c>
      <c r="H34" s="131">
        <v>32293</v>
      </c>
      <c r="I34" s="131">
        <v>4527</v>
      </c>
      <c r="O34" t="s">
        <v>197</v>
      </c>
      <c r="P34" t="s">
        <v>197</v>
      </c>
    </row>
    <row r="35" spans="1:16">
      <c r="D35" t="s">
        <v>247</v>
      </c>
      <c r="F35" s="131">
        <v>10</v>
      </c>
      <c r="G35" s="131">
        <v>10</v>
      </c>
      <c r="H35" s="131">
        <v>30480</v>
      </c>
      <c r="I35" s="131">
        <v>4413</v>
      </c>
      <c r="O35" t="s">
        <v>197</v>
      </c>
      <c r="P35" t="s">
        <v>197</v>
      </c>
    </row>
    <row r="36" spans="1:16">
      <c r="F36" s="132">
        <v>6</v>
      </c>
      <c r="G36" s="132">
        <v>12</v>
      </c>
      <c r="H36" s="132">
        <v>30069</v>
      </c>
      <c r="I36" s="132">
        <v>4570</v>
      </c>
      <c r="M36" t="s">
        <v>248</v>
      </c>
      <c r="O36" s="132" t="s">
        <v>249</v>
      </c>
      <c r="P36" t="s">
        <v>197</v>
      </c>
    </row>
    <row r="37" spans="1:16">
      <c r="F37" s="132">
        <v>6</v>
      </c>
      <c r="G37" s="132">
        <v>12</v>
      </c>
      <c r="H37" s="132">
        <v>28271</v>
      </c>
      <c r="I37" s="132">
        <v>4129</v>
      </c>
      <c r="L37" t="s">
        <v>250</v>
      </c>
      <c r="O37" t="s">
        <v>197</v>
      </c>
      <c r="P37" t="s">
        <v>197</v>
      </c>
    </row>
    <row r="38" spans="1:16">
      <c r="F38" s="132">
        <v>6</v>
      </c>
      <c r="G38" s="132">
        <v>12</v>
      </c>
      <c r="H38" s="132">
        <v>28069</v>
      </c>
      <c r="I38" s="132">
        <v>4254</v>
      </c>
      <c r="M38" t="s">
        <v>251</v>
      </c>
      <c r="O38" t="s">
        <v>197</v>
      </c>
      <c r="P38" t="s">
        <v>197</v>
      </c>
    </row>
    <row r="39" spans="1:16">
      <c r="A39" t="s">
        <v>252</v>
      </c>
      <c r="F39" s="132">
        <v>10</v>
      </c>
      <c r="G39" s="132">
        <v>16</v>
      </c>
      <c r="H39" s="132">
        <v>27505</v>
      </c>
      <c r="I39" s="132">
        <v>3917</v>
      </c>
      <c r="O39" t="s">
        <v>197</v>
      </c>
      <c r="P39" t="s">
        <v>197</v>
      </c>
    </row>
    <row r="40" spans="1:16">
      <c r="C40" t="s">
        <v>253</v>
      </c>
      <c r="F40" s="132">
        <v>10</v>
      </c>
      <c r="G40" s="132">
        <v>16</v>
      </c>
      <c r="H40" s="132">
        <v>27059</v>
      </c>
      <c r="I40" s="132">
        <v>3958</v>
      </c>
      <c r="O40" t="s">
        <v>197</v>
      </c>
      <c r="P40" t="s">
        <v>197</v>
      </c>
    </row>
    <row r="41" spans="1:16">
      <c r="B41" t="s">
        <v>254</v>
      </c>
      <c r="F41" s="132">
        <v>10</v>
      </c>
      <c r="G41" s="132">
        <v>16</v>
      </c>
      <c r="H41" s="132">
        <v>26820</v>
      </c>
      <c r="I41" s="132">
        <v>3861</v>
      </c>
      <c r="O41" t="s">
        <v>197</v>
      </c>
      <c r="P41" t="s">
        <v>197</v>
      </c>
    </row>
    <row r="42" spans="1:16">
      <c r="F42" s="132">
        <v>8</v>
      </c>
      <c r="G42" s="132">
        <v>16</v>
      </c>
      <c r="H42" s="132">
        <v>26556</v>
      </c>
      <c r="I42" s="132">
        <v>3386</v>
      </c>
      <c r="K42" t="s">
        <v>255</v>
      </c>
      <c r="O42" t="s">
        <v>197</v>
      </c>
      <c r="P42" t="s">
        <v>197</v>
      </c>
    </row>
    <row r="43" spans="1:16">
      <c r="F43" s="132">
        <v>6</v>
      </c>
      <c r="G43" s="132">
        <v>12</v>
      </c>
      <c r="H43" s="132">
        <v>26522</v>
      </c>
      <c r="I43" s="132">
        <v>3825</v>
      </c>
      <c r="L43" t="s">
        <v>256</v>
      </c>
      <c r="O43" t="s">
        <v>197</v>
      </c>
      <c r="P43" t="s">
        <v>197</v>
      </c>
    </row>
    <row r="44" spans="1:16">
      <c r="F44" s="132">
        <v>8</v>
      </c>
      <c r="G44" s="132">
        <v>16</v>
      </c>
      <c r="H44" s="132">
        <v>26305</v>
      </c>
      <c r="I44" s="132">
        <v>2968</v>
      </c>
      <c r="K44" t="s">
        <v>257</v>
      </c>
      <c r="O44" t="s">
        <v>197</v>
      </c>
      <c r="P44" t="s">
        <v>197</v>
      </c>
    </row>
    <row r="45" spans="1:16">
      <c r="C45" t="s">
        <v>258</v>
      </c>
      <c r="F45" s="132">
        <v>10</v>
      </c>
      <c r="G45" s="132">
        <v>16</v>
      </c>
      <c r="H45" s="132">
        <v>25053</v>
      </c>
      <c r="I45" s="132">
        <v>3741</v>
      </c>
      <c r="O45" t="s">
        <v>197</v>
      </c>
      <c r="P45" t="s">
        <v>197</v>
      </c>
    </row>
    <row r="46" spans="1:16">
      <c r="B46" t="s">
        <v>259</v>
      </c>
      <c r="F46" s="132">
        <v>10</v>
      </c>
      <c r="G46" s="132">
        <v>16</v>
      </c>
      <c r="H46" s="132">
        <v>23901</v>
      </c>
      <c r="I46" s="132">
        <v>3584</v>
      </c>
      <c r="O46" t="s">
        <v>197</v>
      </c>
      <c r="P46" t="s">
        <v>197</v>
      </c>
    </row>
    <row r="47" spans="1:16">
      <c r="F47" s="134">
        <v>6</v>
      </c>
      <c r="G47" s="134">
        <v>12</v>
      </c>
      <c r="H47" s="134">
        <v>21836</v>
      </c>
      <c r="I47" s="134">
        <v>3260</v>
      </c>
      <c r="L47" t="s">
        <v>260</v>
      </c>
      <c r="O47" s="134" t="s">
        <v>261</v>
      </c>
      <c r="P47" t="s">
        <v>197</v>
      </c>
    </row>
    <row r="48" spans="1:16">
      <c r="F48" s="134">
        <v>6</v>
      </c>
      <c r="G48" s="134">
        <v>12</v>
      </c>
      <c r="H48" s="134">
        <v>21825</v>
      </c>
      <c r="I48" s="134">
        <v>3366</v>
      </c>
      <c r="K48" t="s">
        <v>262</v>
      </c>
      <c r="O48" t="s">
        <v>197</v>
      </c>
      <c r="P48" t="s">
        <v>263</v>
      </c>
    </row>
    <row r="49" spans="1:16">
      <c r="F49" s="134">
        <v>6</v>
      </c>
      <c r="G49" s="134">
        <v>12</v>
      </c>
      <c r="H49" s="134">
        <v>21493</v>
      </c>
      <c r="I49" s="134">
        <v>3253</v>
      </c>
      <c r="K49" t="s">
        <v>264</v>
      </c>
      <c r="O49" t="s">
        <v>197</v>
      </c>
      <c r="P49" t="s">
        <v>197</v>
      </c>
    </row>
    <row r="50" spans="1:16">
      <c r="A50" t="s">
        <v>265</v>
      </c>
      <c r="F50" s="134">
        <v>6</v>
      </c>
      <c r="G50" s="134">
        <v>12</v>
      </c>
      <c r="H50" s="134">
        <v>20328</v>
      </c>
      <c r="I50" s="134">
        <v>3689</v>
      </c>
      <c r="O50" t="s">
        <v>197</v>
      </c>
      <c r="P50" t="s">
        <v>197</v>
      </c>
    </row>
    <row r="51" spans="1:16">
      <c r="F51" s="134">
        <v>6</v>
      </c>
      <c r="G51" s="134">
        <v>12</v>
      </c>
      <c r="H51" s="134">
        <v>20308</v>
      </c>
      <c r="I51" s="134">
        <v>2935</v>
      </c>
      <c r="K51" t="s">
        <v>266</v>
      </c>
      <c r="O51" t="s">
        <v>197</v>
      </c>
      <c r="P51" t="s">
        <v>263</v>
      </c>
    </row>
    <row r="52" spans="1:16">
      <c r="F52" s="134">
        <v>6</v>
      </c>
      <c r="G52" s="134">
        <v>12</v>
      </c>
      <c r="H52" s="134">
        <v>19250</v>
      </c>
      <c r="I52" s="134">
        <v>3061</v>
      </c>
      <c r="K52" t="s">
        <v>267</v>
      </c>
      <c r="O52" t="s">
        <v>197</v>
      </c>
      <c r="P52" t="s">
        <v>197</v>
      </c>
    </row>
    <row r="53" spans="1:16">
      <c r="A53" t="s">
        <v>268</v>
      </c>
      <c r="F53" s="134">
        <v>6</v>
      </c>
      <c r="G53" s="134">
        <v>12</v>
      </c>
      <c r="H53" s="134">
        <v>18821</v>
      </c>
      <c r="I53" s="134">
        <v>3465</v>
      </c>
      <c r="O53" t="s">
        <v>197</v>
      </c>
      <c r="P53" t="s">
        <v>197</v>
      </c>
    </row>
    <row r="54" spans="1:16">
      <c r="C54" t="s">
        <v>269</v>
      </c>
      <c r="F54" s="134">
        <v>4</v>
      </c>
      <c r="G54" s="134">
        <v>8</v>
      </c>
      <c r="H54" s="134">
        <v>15081</v>
      </c>
      <c r="I54" s="134">
        <v>3760</v>
      </c>
      <c r="O54" t="s">
        <v>197</v>
      </c>
      <c r="P54" t="s">
        <v>197</v>
      </c>
    </row>
    <row r="55" spans="1:16">
      <c r="B55" t="s">
        <v>270</v>
      </c>
      <c r="F55" s="134">
        <v>4</v>
      </c>
      <c r="G55" s="134">
        <v>8</v>
      </c>
      <c r="H55" s="134">
        <v>14100</v>
      </c>
      <c r="I55" s="134">
        <v>3537</v>
      </c>
      <c r="O55" t="s">
        <v>197</v>
      </c>
      <c r="P55" t="s">
        <v>197</v>
      </c>
    </row>
    <row r="56" spans="1:16">
      <c r="A56" t="s">
        <v>271</v>
      </c>
      <c r="F56" s="134">
        <v>4</v>
      </c>
      <c r="G56" s="134">
        <v>8</v>
      </c>
      <c r="H56" s="134">
        <v>12511</v>
      </c>
      <c r="I56" s="134">
        <v>3241</v>
      </c>
      <c r="O56" t="s">
        <v>197</v>
      </c>
      <c r="P56" t="s">
        <v>197</v>
      </c>
    </row>
  </sheetData>
  <mergeCells count="8">
    <mergeCell ref="A1:D1"/>
    <mergeCell ref="K1:M1"/>
    <mergeCell ref="F1:F2"/>
    <mergeCell ref="G1:G2"/>
    <mergeCell ref="H1:H2"/>
    <mergeCell ref="I1:I2"/>
    <mergeCell ref="O1:O2"/>
    <mergeCell ref="P1:P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4"/>
  </sheetPr>
  <dimension ref="A1:W74"/>
  <sheetViews>
    <sheetView zoomScale="57" zoomScaleNormal="57" workbookViewId="0">
      <pane xSplit="8" ySplit="2" topLeftCell="I17" activePane="bottomRight" state="frozen"/>
      <selection/>
      <selection pane="topRight"/>
      <selection pane="bottomLeft"/>
      <selection pane="bottomRight" activeCell="F89" sqref="F89"/>
    </sheetView>
  </sheetViews>
  <sheetFormatPr defaultColWidth="9" defaultRowHeight="14.4"/>
  <cols>
    <col min="1" max="8" width="13" customWidth="1"/>
    <col min="9" max="9" width="3" customWidth="1"/>
    <col min="10" max="13" width="9" customWidth="1"/>
    <col min="14" max="14" width="3" customWidth="1"/>
    <col min="15" max="20" width="13" customWidth="1"/>
    <col min="21" max="21" width="9" customWidth="1"/>
    <col min="22" max="22" width="3" customWidth="1"/>
  </cols>
  <sheetData>
    <row r="1" ht="34" customHeight="1" spans="1:20">
      <c r="A1" s="123" t="s">
        <v>196</v>
      </c>
      <c r="B1" s="123" t="s">
        <v>196</v>
      </c>
      <c r="C1" s="123" t="s">
        <v>196</v>
      </c>
      <c r="D1" s="123" t="s">
        <v>196</v>
      </c>
      <c r="E1" s="123" t="s">
        <v>196</v>
      </c>
      <c r="F1" s="123" t="s">
        <v>196</v>
      </c>
      <c r="G1" s="123" t="s">
        <v>196</v>
      </c>
      <c r="H1" s="123" t="s">
        <v>196</v>
      </c>
      <c r="J1" s="124" t="s">
        <v>198</v>
      </c>
      <c r="K1" s="125" t="s">
        <v>199</v>
      </c>
      <c r="L1" s="126" t="s">
        <v>200</v>
      </c>
      <c r="M1" s="127" t="s">
        <v>201</v>
      </c>
      <c r="O1" s="128" t="s">
        <v>97</v>
      </c>
      <c r="P1" s="128" t="s">
        <v>97</v>
      </c>
      <c r="Q1" s="128" t="s">
        <v>97</v>
      </c>
      <c r="R1" s="128" t="s">
        <v>97</v>
      </c>
      <c r="S1" s="128" t="s">
        <v>97</v>
      </c>
      <c r="T1" s="128" t="s">
        <v>97</v>
      </c>
    </row>
    <row r="2" ht="34" customHeight="1" spans="1:20">
      <c r="A2" s="123" t="s">
        <v>272</v>
      </c>
      <c r="B2" s="123" t="s">
        <v>273</v>
      </c>
      <c r="C2" s="123" t="s">
        <v>274</v>
      </c>
      <c r="D2" s="123" t="s">
        <v>275</v>
      </c>
      <c r="E2" s="123" t="s">
        <v>276</v>
      </c>
      <c r="F2" s="123" t="s">
        <v>277</v>
      </c>
      <c r="G2" s="123" t="s">
        <v>278</v>
      </c>
      <c r="H2" s="123" t="s">
        <v>279</v>
      </c>
      <c r="J2" s="124" t="s">
        <v>197</v>
      </c>
      <c r="K2" s="125" t="s">
        <v>197</v>
      </c>
      <c r="L2" s="126" t="s">
        <v>197</v>
      </c>
      <c r="M2" s="127" t="s">
        <v>197</v>
      </c>
      <c r="O2" s="128" t="s">
        <v>280</v>
      </c>
      <c r="P2" s="128" t="s">
        <v>281</v>
      </c>
      <c r="Q2" s="128" t="s">
        <v>282</v>
      </c>
      <c r="R2" s="128" t="s">
        <v>283</v>
      </c>
      <c r="S2" s="128" t="s">
        <v>284</v>
      </c>
      <c r="T2" s="128" t="s">
        <v>285</v>
      </c>
    </row>
    <row r="3" spans="1:20">
      <c r="J3" s="129">
        <v>16</v>
      </c>
      <c r="K3" s="129">
        <v>32</v>
      </c>
      <c r="L3" s="129">
        <v>62399</v>
      </c>
      <c r="M3" s="129">
        <v>4506</v>
      </c>
      <c r="O3" t="s">
        <v>286</v>
      </c>
    </row>
    <row r="4" spans="1:20">
      <c r="B4" t="s">
        <v>287</v>
      </c>
      <c r="J4" s="129">
        <v>24</v>
      </c>
      <c r="K4" s="129">
        <v>24</v>
      </c>
      <c r="L4" s="129">
        <v>58878</v>
      </c>
      <c r="M4" s="129">
        <v>4933</v>
      </c>
    </row>
    <row r="5" spans="1:20">
      <c r="J5" s="129">
        <v>16</v>
      </c>
      <c r="K5" s="129">
        <v>32</v>
      </c>
      <c r="L5" s="129">
        <v>57727</v>
      </c>
      <c r="M5" s="129">
        <v>4063</v>
      </c>
      <c r="Q5" t="s">
        <v>288</v>
      </c>
    </row>
    <row r="6" spans="1:20">
      <c r="B6" t="s">
        <v>289</v>
      </c>
      <c r="J6" s="129">
        <v>24</v>
      </c>
      <c r="K6" s="129">
        <v>24</v>
      </c>
      <c r="L6" s="129">
        <v>56533</v>
      </c>
      <c r="M6" s="129">
        <v>4609</v>
      </c>
    </row>
    <row r="7" spans="1:20">
      <c r="J7" s="129">
        <v>16</v>
      </c>
      <c r="K7" s="129">
        <v>32</v>
      </c>
      <c r="L7" s="129">
        <v>56302</v>
      </c>
      <c r="M7" s="129">
        <v>4397</v>
      </c>
      <c r="O7" t="s">
        <v>290</v>
      </c>
    </row>
    <row r="8" spans="1:20">
      <c r="B8" t="s">
        <v>291</v>
      </c>
      <c r="J8" s="129">
        <v>24</v>
      </c>
      <c r="K8" s="129">
        <v>24</v>
      </c>
      <c r="L8" s="129">
        <v>55736</v>
      </c>
      <c r="M8" s="129">
        <v>4709</v>
      </c>
    </row>
    <row r="9" spans="1:20">
      <c r="J9" s="129">
        <v>16</v>
      </c>
      <c r="K9" s="129">
        <v>32</v>
      </c>
      <c r="L9" s="129">
        <v>54895</v>
      </c>
      <c r="M9" s="129">
        <v>4145</v>
      </c>
      <c r="P9" t="s">
        <v>292</v>
      </c>
    </row>
    <row r="10" spans="1:20">
      <c r="J10" s="129">
        <v>16</v>
      </c>
      <c r="K10" s="129">
        <v>32</v>
      </c>
      <c r="L10" s="129">
        <v>53859</v>
      </c>
      <c r="M10" s="129">
        <v>4015</v>
      </c>
      <c r="Q10" t="s">
        <v>293</v>
      </c>
    </row>
    <row r="11" spans="1:20">
      <c r="J11" s="129">
        <v>16</v>
      </c>
      <c r="K11" s="129">
        <v>32</v>
      </c>
      <c r="L11" s="129">
        <v>53022</v>
      </c>
      <c r="M11" s="129">
        <v>3929</v>
      </c>
      <c r="Q11" t="s">
        <v>294</v>
      </c>
    </row>
    <row r="12" spans="1:20">
      <c r="J12" s="129">
        <v>12</v>
      </c>
      <c r="K12" s="129">
        <v>24</v>
      </c>
      <c r="L12" s="129">
        <v>51722</v>
      </c>
      <c r="M12" s="129">
        <v>4461</v>
      </c>
      <c r="O12" t="s">
        <v>295</v>
      </c>
    </row>
    <row r="13" spans="1:20">
      <c r="J13" s="129">
        <v>16</v>
      </c>
      <c r="K13" s="129">
        <v>32</v>
      </c>
      <c r="L13" s="129">
        <v>51262</v>
      </c>
      <c r="M13" s="129">
        <v>3903</v>
      </c>
      <c r="Q13" t="s">
        <v>296</v>
      </c>
    </row>
    <row r="14" spans="1:20">
      <c r="J14" s="129">
        <v>16</v>
      </c>
      <c r="K14" s="129">
        <v>32</v>
      </c>
      <c r="L14" s="129">
        <v>49613</v>
      </c>
      <c r="M14" s="129">
        <v>3873</v>
      </c>
      <c r="Q14" t="s">
        <v>297</v>
      </c>
    </row>
    <row r="15" spans="1:20">
      <c r="B15" t="s">
        <v>298</v>
      </c>
      <c r="J15" s="129">
        <v>20</v>
      </c>
      <c r="K15" s="129">
        <v>20</v>
      </c>
      <c r="L15" s="129">
        <v>49310</v>
      </c>
      <c r="M15" s="129">
        <v>4779</v>
      </c>
    </row>
    <row r="16" spans="1:20">
      <c r="B16" t="s">
        <v>299</v>
      </c>
      <c r="J16" s="129">
        <v>20</v>
      </c>
      <c r="K16" s="129">
        <v>20</v>
      </c>
      <c r="L16" s="129">
        <v>48039</v>
      </c>
      <c r="M16" s="129">
        <v>4557</v>
      </c>
    </row>
    <row r="17" spans="1:18">
      <c r="B17" t="s">
        <v>300</v>
      </c>
      <c r="J17" s="129">
        <v>18</v>
      </c>
      <c r="K17" s="129">
        <v>18</v>
      </c>
      <c r="L17" s="129">
        <v>46812</v>
      </c>
      <c r="M17" s="129">
        <v>4453</v>
      </c>
    </row>
    <row r="18" spans="1:18">
      <c r="J18" s="129">
        <v>12</v>
      </c>
      <c r="K18" s="129">
        <v>24</v>
      </c>
      <c r="L18" s="129">
        <v>45438</v>
      </c>
      <c r="M18" s="129">
        <v>3962</v>
      </c>
      <c r="P18" t="s">
        <v>301</v>
      </c>
    </row>
    <row r="19" spans="1:18">
      <c r="E19" t="s">
        <v>302</v>
      </c>
      <c r="J19" s="129">
        <v>24</v>
      </c>
      <c r="K19" s="129">
        <v>32</v>
      </c>
      <c r="L19" s="129">
        <v>45319</v>
      </c>
      <c r="M19" s="129">
        <v>4209</v>
      </c>
    </row>
    <row r="20" spans="1:18">
      <c r="J20" s="129">
        <v>12</v>
      </c>
      <c r="K20" s="129">
        <v>24</v>
      </c>
      <c r="L20" s="129">
        <v>44391</v>
      </c>
      <c r="M20" s="129">
        <v>3897</v>
      </c>
      <c r="Q20" t="s">
        <v>303</v>
      </c>
    </row>
    <row r="21" spans="1:18">
      <c r="E21" t="s">
        <v>304</v>
      </c>
      <c r="J21" s="129">
        <v>24</v>
      </c>
      <c r="K21" s="129">
        <v>32</v>
      </c>
      <c r="L21" s="129">
        <v>43613</v>
      </c>
      <c r="M21" s="129">
        <v>4165</v>
      </c>
    </row>
    <row r="22" spans="1:18">
      <c r="J22" s="129">
        <v>12</v>
      </c>
      <c r="K22" s="129">
        <v>24</v>
      </c>
      <c r="L22" s="129">
        <v>42667</v>
      </c>
      <c r="M22" s="129">
        <v>3940</v>
      </c>
      <c r="Q22" t="s">
        <v>305</v>
      </c>
    </row>
    <row r="23" spans="1:18">
      <c r="J23" s="129">
        <v>12</v>
      </c>
      <c r="K23" s="129">
        <v>24</v>
      </c>
      <c r="L23" s="129">
        <v>41726</v>
      </c>
      <c r="M23" s="129">
        <v>4032</v>
      </c>
      <c r="P23" t="s">
        <v>306</v>
      </c>
    </row>
    <row r="24" spans="1:18">
      <c r="B24" t="s">
        <v>307</v>
      </c>
      <c r="J24" s="129">
        <v>14</v>
      </c>
      <c r="K24" s="130">
        <v>14</v>
      </c>
      <c r="L24" s="129">
        <v>41634</v>
      </c>
      <c r="M24" s="129">
        <v>4569</v>
      </c>
    </row>
    <row r="25" spans="1:18">
      <c r="B25" t="s">
        <v>308</v>
      </c>
      <c r="J25" s="129">
        <v>14</v>
      </c>
      <c r="K25" s="130">
        <v>14</v>
      </c>
      <c r="L25" s="129">
        <v>40770</v>
      </c>
      <c r="M25" s="129">
        <v>4694</v>
      </c>
    </row>
    <row r="26" spans="1:18">
      <c r="J26" s="129">
        <v>12</v>
      </c>
      <c r="K26" s="129">
        <v>24</v>
      </c>
      <c r="L26" s="129">
        <v>38273</v>
      </c>
      <c r="M26" s="129">
        <v>4253</v>
      </c>
      <c r="R26" t="s">
        <v>309</v>
      </c>
    </row>
    <row r="27" spans="1:18">
      <c r="A27" t="s">
        <v>310</v>
      </c>
      <c r="J27" s="129">
        <v>16</v>
      </c>
      <c r="K27" s="129">
        <v>16</v>
      </c>
      <c r="L27" s="129">
        <v>38212</v>
      </c>
      <c r="M27" s="129">
        <v>4322</v>
      </c>
    </row>
    <row r="28" spans="1:18">
      <c r="J28" s="129">
        <v>12</v>
      </c>
      <c r="K28" s="129">
        <v>24</v>
      </c>
      <c r="L28" s="129">
        <v>36829</v>
      </c>
      <c r="M28" s="129">
        <v>4082</v>
      </c>
      <c r="R28" t="s">
        <v>311</v>
      </c>
    </row>
    <row r="29" spans="1:18">
      <c r="E29" t="s">
        <v>312</v>
      </c>
      <c r="J29" s="129">
        <v>20</v>
      </c>
      <c r="K29" s="129">
        <v>28</v>
      </c>
      <c r="L29" s="129">
        <v>36481</v>
      </c>
      <c r="M29" s="129">
        <v>3944</v>
      </c>
    </row>
    <row r="30" spans="1:18">
      <c r="A30" t="s">
        <v>313</v>
      </c>
      <c r="J30" s="129">
        <v>16</v>
      </c>
      <c r="K30" s="129">
        <v>16</v>
      </c>
      <c r="L30" s="129">
        <v>36255</v>
      </c>
      <c r="M30" s="129">
        <v>4274</v>
      </c>
    </row>
    <row r="31" spans="1:18">
      <c r="A31" t="s">
        <v>314</v>
      </c>
      <c r="J31" s="129">
        <v>16</v>
      </c>
      <c r="K31" s="129">
        <v>16</v>
      </c>
      <c r="L31" s="129">
        <v>36051</v>
      </c>
      <c r="M31" s="129">
        <v>4228</v>
      </c>
    </row>
    <row r="32" spans="1:18">
      <c r="J32" s="129">
        <v>12</v>
      </c>
      <c r="K32" s="129">
        <v>24</v>
      </c>
      <c r="L32" s="129">
        <v>35408</v>
      </c>
      <c r="M32" s="129">
        <v>3986</v>
      </c>
      <c r="R32" t="s">
        <v>315</v>
      </c>
    </row>
    <row r="33" spans="1:19">
      <c r="J33" s="129">
        <v>12</v>
      </c>
      <c r="K33" s="129">
        <v>24</v>
      </c>
      <c r="L33" s="129">
        <v>34945</v>
      </c>
      <c r="M33" s="129">
        <v>3937</v>
      </c>
      <c r="R33" t="s">
        <v>316</v>
      </c>
    </row>
    <row r="34" spans="1:19">
      <c r="A34" t="s">
        <v>317</v>
      </c>
      <c r="J34" s="129">
        <v>16</v>
      </c>
      <c r="K34" s="129">
        <v>16</v>
      </c>
      <c r="L34" s="129">
        <v>34199</v>
      </c>
      <c r="M34" s="129">
        <v>4083</v>
      </c>
    </row>
    <row r="35" spans="1:19">
      <c r="C35" t="s">
        <v>318</v>
      </c>
      <c r="J35" s="129">
        <v>16</v>
      </c>
      <c r="K35" s="129">
        <v>16</v>
      </c>
      <c r="L35" s="129">
        <v>34186</v>
      </c>
      <c r="M35" s="129">
        <v>4416</v>
      </c>
    </row>
    <row r="36" spans="1:19">
      <c r="A36" t="s">
        <v>319</v>
      </c>
      <c r="J36" s="129">
        <v>16</v>
      </c>
      <c r="K36" s="129">
        <v>16</v>
      </c>
      <c r="L36" s="129">
        <v>33725</v>
      </c>
      <c r="M36" s="129">
        <v>4096</v>
      </c>
    </row>
    <row r="37" spans="1:19">
      <c r="J37" s="131">
        <v>8</v>
      </c>
      <c r="K37" s="129">
        <v>16</v>
      </c>
      <c r="L37" s="129">
        <v>33643</v>
      </c>
      <c r="M37" s="129">
        <v>4064</v>
      </c>
      <c r="P37" t="s">
        <v>320</v>
      </c>
    </row>
    <row r="38" spans="1:19">
      <c r="E38" t="s">
        <v>321</v>
      </c>
      <c r="J38" s="129">
        <v>16</v>
      </c>
      <c r="K38" s="129">
        <v>24</v>
      </c>
      <c r="L38" s="129">
        <v>33442</v>
      </c>
      <c r="M38" s="129">
        <v>3841</v>
      </c>
    </row>
    <row r="39" spans="1:19">
      <c r="J39" s="131">
        <v>8</v>
      </c>
      <c r="K39" s="129">
        <v>16</v>
      </c>
      <c r="L39" s="129">
        <v>33357</v>
      </c>
      <c r="M39" s="129">
        <v>4196</v>
      </c>
      <c r="P39" t="s">
        <v>322</v>
      </c>
    </row>
    <row r="40" spans="1:19">
      <c r="A40" t="s">
        <v>323</v>
      </c>
      <c r="J40" s="129">
        <v>16</v>
      </c>
      <c r="K40" s="129">
        <v>16</v>
      </c>
      <c r="L40" s="129">
        <v>33350</v>
      </c>
      <c r="M40" s="129">
        <v>3989</v>
      </c>
    </row>
    <row r="41" spans="1:19">
      <c r="J41" s="131">
        <v>8</v>
      </c>
      <c r="K41" s="129">
        <v>16</v>
      </c>
      <c r="L41" s="129">
        <v>31496</v>
      </c>
      <c r="M41" s="129">
        <v>3872</v>
      </c>
      <c r="Q41" t="s">
        <v>324</v>
      </c>
    </row>
    <row r="42" spans="1:19">
      <c r="C42" t="s">
        <v>325</v>
      </c>
      <c r="J42" s="129">
        <v>16</v>
      </c>
      <c r="K42" s="129">
        <v>16</v>
      </c>
      <c r="L42" s="130">
        <v>30723</v>
      </c>
      <c r="M42" s="129">
        <v>4315</v>
      </c>
    </row>
    <row r="43" spans="1:19">
      <c r="J43" s="130">
        <v>10</v>
      </c>
      <c r="K43" s="129">
        <v>20</v>
      </c>
      <c r="L43" s="130">
        <v>30341</v>
      </c>
      <c r="M43" s="129">
        <v>3862</v>
      </c>
      <c r="R43" t="s">
        <v>326</v>
      </c>
    </row>
    <row r="44" spans="1:19">
      <c r="E44" t="s">
        <v>327</v>
      </c>
      <c r="J44" s="129">
        <v>14</v>
      </c>
      <c r="K44" s="129">
        <v>20</v>
      </c>
      <c r="L44" s="130">
        <v>29995</v>
      </c>
      <c r="M44" s="129">
        <v>3736</v>
      </c>
    </row>
    <row r="45" spans="1:19">
      <c r="J45" s="131">
        <v>8</v>
      </c>
      <c r="K45" s="129">
        <v>16</v>
      </c>
      <c r="L45" s="130">
        <v>29054</v>
      </c>
      <c r="M45" s="129">
        <v>3676</v>
      </c>
      <c r="S45" t="s">
        <v>328</v>
      </c>
    </row>
    <row r="46" spans="1:19">
      <c r="J46" s="131">
        <v>8</v>
      </c>
      <c r="K46" s="129">
        <v>16</v>
      </c>
      <c r="L46" s="130">
        <v>28269</v>
      </c>
      <c r="M46" s="129">
        <v>3705</v>
      </c>
      <c r="S46" t="s">
        <v>329</v>
      </c>
    </row>
    <row r="47" spans="1:19">
      <c r="J47" s="131">
        <v>8</v>
      </c>
      <c r="K47" s="129">
        <v>16</v>
      </c>
      <c r="L47" s="130">
        <v>28197</v>
      </c>
      <c r="M47" s="129">
        <v>3669</v>
      </c>
      <c r="S47" t="s">
        <v>330</v>
      </c>
    </row>
    <row r="48" spans="1:19">
      <c r="J48" s="131">
        <v>8</v>
      </c>
      <c r="K48" s="129">
        <v>16</v>
      </c>
      <c r="L48" s="130">
        <v>28139</v>
      </c>
      <c r="M48" s="129">
        <v>3658</v>
      </c>
      <c r="S48" t="s">
        <v>331</v>
      </c>
    </row>
    <row r="49" spans="1:20">
      <c r="J49" s="130">
        <v>10</v>
      </c>
      <c r="K49" s="129">
        <v>20</v>
      </c>
      <c r="L49" s="130">
        <v>28105</v>
      </c>
      <c r="M49" s="129">
        <v>3397</v>
      </c>
      <c r="R49" t="s">
        <v>332</v>
      </c>
    </row>
    <row r="50" spans="1:20">
      <c r="C50" t="s">
        <v>333</v>
      </c>
      <c r="J50" s="129">
        <v>14</v>
      </c>
      <c r="K50" s="130">
        <v>14</v>
      </c>
      <c r="L50" s="130">
        <v>28098</v>
      </c>
      <c r="M50" s="129">
        <v>4255</v>
      </c>
    </row>
    <row r="51" spans="1:20">
      <c r="A51" t="s">
        <v>334</v>
      </c>
      <c r="J51" s="129">
        <v>12</v>
      </c>
      <c r="K51" s="131">
        <v>12</v>
      </c>
      <c r="L51" s="130">
        <v>27818</v>
      </c>
      <c r="M51" s="129">
        <v>4047</v>
      </c>
    </row>
    <row r="52" spans="1:20">
      <c r="E52" t="s">
        <v>335</v>
      </c>
      <c r="J52" s="129">
        <v>14</v>
      </c>
      <c r="K52" s="129">
        <v>20</v>
      </c>
      <c r="L52" s="130">
        <v>27397</v>
      </c>
      <c r="M52" s="129">
        <v>3623</v>
      </c>
    </row>
    <row r="53" spans="1:20">
      <c r="J53" s="131">
        <v>8</v>
      </c>
      <c r="K53" s="129">
        <v>16</v>
      </c>
      <c r="L53" s="130">
        <v>26582</v>
      </c>
      <c r="M53" s="129">
        <v>3499</v>
      </c>
      <c r="S53" t="s">
        <v>336</v>
      </c>
    </row>
    <row r="54" spans="1:20">
      <c r="J54" s="131">
        <v>8</v>
      </c>
      <c r="K54" s="129">
        <v>16</v>
      </c>
      <c r="L54" s="130">
        <v>26212</v>
      </c>
      <c r="M54" s="129">
        <v>3724</v>
      </c>
      <c r="R54" t="s">
        <v>337</v>
      </c>
    </row>
    <row r="55" spans="1:20">
      <c r="J55" s="131">
        <v>8</v>
      </c>
      <c r="K55" s="129">
        <v>16</v>
      </c>
      <c r="L55" s="131">
        <v>22947</v>
      </c>
      <c r="M55" s="129">
        <v>3206</v>
      </c>
      <c r="T55" t="s">
        <v>338</v>
      </c>
    </row>
    <row r="56" spans="1:20">
      <c r="J56" s="131">
        <v>8</v>
      </c>
      <c r="K56" s="129">
        <v>16</v>
      </c>
      <c r="L56" s="131">
        <v>22919</v>
      </c>
      <c r="M56" s="129">
        <v>3161</v>
      </c>
      <c r="T56" t="s">
        <v>339</v>
      </c>
    </row>
    <row r="57" spans="1:20">
      <c r="J57" s="131">
        <v>8</v>
      </c>
      <c r="K57" s="129">
        <v>16</v>
      </c>
      <c r="L57" s="131">
        <v>22694</v>
      </c>
      <c r="M57" s="129">
        <v>3183</v>
      </c>
      <c r="T57" t="s">
        <v>340</v>
      </c>
    </row>
    <row r="58" spans="1:20">
      <c r="J58" s="132">
        <v>6</v>
      </c>
      <c r="K58" s="131">
        <v>12</v>
      </c>
      <c r="L58" s="131">
        <v>21970</v>
      </c>
      <c r="M58" s="129">
        <v>3552</v>
      </c>
      <c r="S58" t="s">
        <v>341</v>
      </c>
    </row>
    <row r="59" spans="1:20">
      <c r="H59" t="s">
        <v>342</v>
      </c>
      <c r="J59" s="129">
        <v>12</v>
      </c>
      <c r="K59" s="129">
        <v>16</v>
      </c>
      <c r="L59" s="131">
        <v>21884</v>
      </c>
      <c r="M59" s="129">
        <v>3405</v>
      </c>
    </row>
    <row r="60" spans="1:20">
      <c r="C60" t="s">
        <v>343</v>
      </c>
      <c r="J60" s="129">
        <v>14</v>
      </c>
      <c r="K60" s="129">
        <v>18</v>
      </c>
      <c r="L60" s="131">
        <v>20019</v>
      </c>
      <c r="M60" s="129">
        <v>3319</v>
      </c>
    </row>
    <row r="61" spans="1:20">
      <c r="D61" t="s">
        <v>344</v>
      </c>
      <c r="J61" s="131">
        <v>8</v>
      </c>
      <c r="K61" s="132">
        <v>8</v>
      </c>
      <c r="L61" s="131">
        <v>19812</v>
      </c>
      <c r="M61" s="129">
        <v>4271</v>
      </c>
    </row>
    <row r="62" spans="1:20">
      <c r="J62" s="132">
        <v>6</v>
      </c>
      <c r="K62" s="131">
        <v>12</v>
      </c>
      <c r="L62" s="131">
        <v>19527</v>
      </c>
      <c r="M62" s="129">
        <v>3690</v>
      </c>
      <c r="R62" t="s">
        <v>345</v>
      </c>
    </row>
    <row r="63" spans="1:20">
      <c r="F63" t="s">
        <v>346</v>
      </c>
      <c r="J63" s="131">
        <v>8</v>
      </c>
      <c r="K63" s="132">
        <v>8</v>
      </c>
      <c r="L63" s="131">
        <v>19437</v>
      </c>
      <c r="M63" s="129">
        <v>3786</v>
      </c>
    </row>
    <row r="64" spans="1:20">
      <c r="D64" t="s">
        <v>347</v>
      </c>
      <c r="J64" s="131">
        <v>8</v>
      </c>
      <c r="K64" s="132">
        <v>8</v>
      </c>
      <c r="L64" s="131">
        <v>19287</v>
      </c>
      <c r="M64" s="129">
        <v>4051</v>
      </c>
    </row>
    <row r="65" spans="4:13">
      <c r="D65" t="s">
        <v>348</v>
      </c>
      <c r="J65" s="131">
        <v>8</v>
      </c>
      <c r="K65" s="132">
        <v>8</v>
      </c>
      <c r="L65" s="131">
        <v>18889</v>
      </c>
      <c r="M65" s="129">
        <v>4018</v>
      </c>
    </row>
    <row r="66" spans="4:13">
      <c r="D66" t="s">
        <v>349</v>
      </c>
      <c r="J66" s="131">
        <v>8</v>
      </c>
      <c r="K66" s="132">
        <v>8</v>
      </c>
      <c r="L66" s="131">
        <v>18397</v>
      </c>
      <c r="M66" s="129">
        <v>3889</v>
      </c>
    </row>
    <row r="67" spans="4:13">
      <c r="D67" t="s">
        <v>350</v>
      </c>
      <c r="J67" s="131">
        <v>8</v>
      </c>
      <c r="K67" s="132">
        <v>8</v>
      </c>
      <c r="L67" s="131">
        <v>18170</v>
      </c>
      <c r="M67" s="129">
        <v>3814</v>
      </c>
    </row>
    <row r="68" spans="4:13">
      <c r="D68" t="s">
        <v>351</v>
      </c>
      <c r="J68" s="131">
        <v>8</v>
      </c>
      <c r="K68" s="132">
        <v>8</v>
      </c>
      <c r="L68" s="132">
        <v>17886</v>
      </c>
      <c r="M68" s="129">
        <v>3752</v>
      </c>
    </row>
    <row r="69" spans="4:13">
      <c r="G69" t="s">
        <v>352</v>
      </c>
      <c r="J69" s="132">
        <v>6</v>
      </c>
      <c r="K69" s="133">
        <v>6</v>
      </c>
      <c r="L69" s="132">
        <v>15330</v>
      </c>
      <c r="M69" s="129">
        <v>4007</v>
      </c>
    </row>
    <row r="70" spans="4:13">
      <c r="G70" t="s">
        <v>353</v>
      </c>
      <c r="J70" s="132">
        <v>6</v>
      </c>
      <c r="K70" s="133">
        <v>6</v>
      </c>
      <c r="L70" s="132">
        <v>15038</v>
      </c>
      <c r="M70" s="129">
        <v>3931</v>
      </c>
    </row>
    <row r="71" spans="4:13">
      <c r="F71" t="s">
        <v>354</v>
      </c>
      <c r="J71" s="132">
        <v>6</v>
      </c>
      <c r="K71" s="133">
        <v>6</v>
      </c>
      <c r="L71" s="132">
        <v>14743</v>
      </c>
      <c r="M71" s="129">
        <v>3757</v>
      </c>
    </row>
    <row r="72" spans="4:13">
      <c r="F72" t="s">
        <v>355</v>
      </c>
      <c r="J72" s="132">
        <v>6</v>
      </c>
      <c r="K72" s="133">
        <v>6</v>
      </c>
      <c r="L72" s="132">
        <v>14633</v>
      </c>
      <c r="M72" s="129">
        <v>3746</v>
      </c>
    </row>
    <row r="73" spans="4:13">
      <c r="G73" t="s">
        <v>356</v>
      </c>
      <c r="J73" s="132">
        <v>5</v>
      </c>
      <c r="K73" s="133">
        <v>5</v>
      </c>
      <c r="L73" s="132">
        <v>12548</v>
      </c>
      <c r="M73" s="129">
        <v>3121</v>
      </c>
    </row>
    <row r="74" spans="4:13">
      <c r="G74" t="s">
        <v>357</v>
      </c>
      <c r="J74" s="132">
        <v>5</v>
      </c>
      <c r="K74" s="133">
        <v>5</v>
      </c>
      <c r="L74" s="133">
        <v>11514</v>
      </c>
      <c r="M74" s="129">
        <v>3613</v>
      </c>
    </row>
  </sheetData>
  <mergeCells count="7">
    <mergeCell ref="A1:H1"/>
    <mergeCell ref="O1:T1"/>
    <mergeCell ref="J1:J2"/>
    <mergeCell ref="K1:K2"/>
    <mergeCell ref="L1:L2"/>
    <mergeCell ref="M1:M2"/>
    <mergeCell ref="W1:W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47"/>
  <sheetViews>
    <sheetView zoomScale="81" zoomScaleNormal="81" topLeftCell="A9" workbookViewId="0">
      <selection activeCell="N57" sqref="N57"/>
    </sheetView>
  </sheetViews>
  <sheetFormatPr defaultColWidth="9" defaultRowHeight="14.4"/>
  <cols>
    <col min="2" max="2" width="12.0185185185185" customWidth="1"/>
    <col min="3" max="3" width="12.2037037037037" style="98" customWidth="1"/>
    <col min="5" max="5" width="8.24074074074074" customWidth="1"/>
    <col min="6" max="11" width="9" customWidth="1"/>
    <col min="13" max="22" width="9" customWidth="1"/>
    <col min="25" max="26" width="9" customWidth="1"/>
  </cols>
  <sheetData>
    <row r="1" spans="2:31">
      <c r="F1">
        <v>2025</v>
      </c>
      <c r="R1">
        <v>2026</v>
      </c>
    </row>
    <row r="2" spans="2:31"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 s="77">
        <v>1</v>
      </c>
      <c r="S2" s="77">
        <v>2</v>
      </c>
      <c r="T2" s="77">
        <v>3</v>
      </c>
      <c r="U2" s="77">
        <v>4</v>
      </c>
      <c r="V2" s="77">
        <v>5</v>
      </c>
      <c r="W2">
        <v>6</v>
      </c>
      <c r="X2">
        <v>7</v>
      </c>
      <c r="Y2" s="99" t="s">
        <v>358</v>
      </c>
      <c r="Z2" s="99" t="s">
        <v>359</v>
      </c>
      <c r="AA2">
        <v>8</v>
      </c>
      <c r="AB2">
        <v>9</v>
      </c>
      <c r="AC2">
        <v>10</v>
      </c>
      <c r="AD2">
        <v>11</v>
      </c>
      <c r="AE2">
        <v>12</v>
      </c>
    </row>
    <row r="3" spans="2:31">
      <c r="B3" s="100" t="s">
        <v>360</v>
      </c>
      <c r="C3" s="98">
        <v>5090</v>
      </c>
      <c r="D3" s="99">
        <v>125801</v>
      </c>
      <c r="E3">
        <f>ROUND(D3/L3,2)</f>
        <v>6.11</v>
      </c>
      <c r="H3">
        <v>33699</v>
      </c>
      <c r="I3">
        <v>31000</v>
      </c>
      <c r="J3">
        <v>26588</v>
      </c>
      <c r="K3" s="101">
        <v>21500</v>
      </c>
      <c r="L3" s="101">
        <v>20599</v>
      </c>
      <c r="M3" s="102">
        <v>18500</v>
      </c>
      <c r="N3" s="102">
        <v>18500</v>
      </c>
      <c r="O3" s="102">
        <v>18500</v>
      </c>
      <c r="P3" s="101">
        <v>21999</v>
      </c>
      <c r="Q3" s="101">
        <v>20588</v>
      </c>
      <c r="R3" s="101">
        <v>21000</v>
      </c>
      <c r="S3" s="77">
        <v>27500</v>
      </c>
      <c r="T3" s="77">
        <v>27500</v>
      </c>
      <c r="U3" s="77">
        <v>29699</v>
      </c>
      <c r="V3" s="77">
        <v>29089</v>
      </c>
      <c r="W3">
        <v>31488</v>
      </c>
      <c r="X3">
        <v>31999</v>
      </c>
      <c r="Y3" s="99" t="str">
        <f>TEXT((AC3-N3)/N3,"0.0%")</f>
        <v>156.8%</v>
      </c>
      <c r="Z3">
        <v>30999</v>
      </c>
      <c r="AA3">
        <v>35099</v>
      </c>
      <c r="AB3">
        <v>40000</v>
      </c>
      <c r="AC3">
        <v>47500</v>
      </c>
    </row>
    <row r="4" spans="2:31">
      <c r="B4" s="100"/>
      <c r="C4" s="98" t="s">
        <v>112</v>
      </c>
      <c r="D4" s="99">
        <v>125801</v>
      </c>
      <c r="E4">
        <f>ROUND(D4/L4,2)</f>
        <v>5.88</v>
      </c>
      <c r="G4">
        <v>30000</v>
      </c>
      <c r="H4">
        <v>25999</v>
      </c>
      <c r="I4">
        <v>23388</v>
      </c>
      <c r="J4">
        <v>26499</v>
      </c>
      <c r="K4">
        <v>26899</v>
      </c>
      <c r="L4" s="101">
        <v>21399</v>
      </c>
      <c r="M4" s="102">
        <v>18500</v>
      </c>
      <c r="N4" s="101">
        <v>18900</v>
      </c>
      <c r="O4" s="102">
        <v>18500</v>
      </c>
      <c r="P4" s="102">
        <v>18999</v>
      </c>
      <c r="Q4" s="101">
        <v>20999</v>
      </c>
      <c r="R4" s="101">
        <v>21000</v>
      </c>
      <c r="S4" s="77">
        <v>25000</v>
      </c>
      <c r="T4" s="77">
        <v>25000</v>
      </c>
      <c r="U4" s="77">
        <v>25499</v>
      </c>
      <c r="V4" s="77">
        <v>25499</v>
      </c>
      <c r="W4">
        <v>27969</v>
      </c>
      <c r="X4">
        <v>28999</v>
      </c>
      <c r="Y4" s="99" t="str">
        <f>TEXT((AC4-O4)/O4,"0.0%")</f>
        <v>125.9%</v>
      </c>
      <c r="Z4">
        <v>30999</v>
      </c>
      <c r="AA4">
        <v>33999</v>
      </c>
      <c r="AB4">
        <v>38000</v>
      </c>
      <c r="AC4">
        <v>41800</v>
      </c>
    </row>
    <row r="5" spans="2:31">
      <c r="B5" s="100"/>
      <c r="C5" s="98" t="s">
        <v>113</v>
      </c>
      <c r="D5" s="99">
        <v>119443</v>
      </c>
      <c r="E5">
        <f>119443/18569</f>
        <v>6.43238731218698</v>
      </c>
      <c r="L5" s="77"/>
      <c r="M5" s="103"/>
      <c r="N5" s="101">
        <v>15599</v>
      </c>
      <c r="O5" s="102">
        <v>15399</v>
      </c>
      <c r="P5" s="102">
        <v>15399</v>
      </c>
      <c r="Q5" s="102">
        <v>15199</v>
      </c>
      <c r="R5" s="102">
        <v>15300</v>
      </c>
      <c r="S5" s="101">
        <v>17500</v>
      </c>
      <c r="T5" s="101">
        <v>17500</v>
      </c>
      <c r="U5" s="101">
        <v>17299</v>
      </c>
      <c r="V5" s="101">
        <v>16830</v>
      </c>
      <c r="W5" s="101">
        <v>18569</v>
      </c>
      <c r="X5" s="101">
        <v>18700</v>
      </c>
      <c r="Y5" s="104" t="str">
        <f>TEXT((AC5-Q5)/Q5,"0.0%")</f>
        <v>74.4%</v>
      </c>
      <c r="Z5">
        <v>21264</v>
      </c>
      <c r="AA5">
        <v>21794</v>
      </c>
      <c r="AB5">
        <v>26000</v>
      </c>
      <c r="AC5">
        <v>26500</v>
      </c>
    </row>
    <row r="6" spans="2:31">
      <c r="B6" s="100"/>
      <c r="C6" s="98">
        <v>5080</v>
      </c>
      <c r="D6" s="105">
        <v>78535</v>
      </c>
      <c r="E6">
        <f t="shared" ref="E6:E40" si="0">ROUND(D6/L6,2)</f>
        <v>8.73</v>
      </c>
      <c r="G6">
        <v>9899</v>
      </c>
      <c r="H6" s="101">
        <v>9795</v>
      </c>
      <c r="I6" s="102">
        <v>8798</v>
      </c>
      <c r="J6" s="102">
        <v>8599</v>
      </c>
      <c r="K6" s="102">
        <v>8899</v>
      </c>
      <c r="L6" s="102">
        <v>8999</v>
      </c>
      <c r="M6" s="102">
        <v>8500</v>
      </c>
      <c r="N6" s="106">
        <v>7950</v>
      </c>
      <c r="O6" s="106">
        <v>7899</v>
      </c>
      <c r="P6" s="102">
        <v>8100</v>
      </c>
      <c r="Q6" s="102">
        <v>8099</v>
      </c>
      <c r="R6" s="102">
        <v>8300</v>
      </c>
      <c r="S6" s="101">
        <v>9300</v>
      </c>
      <c r="T6" s="101">
        <v>9300</v>
      </c>
      <c r="U6" s="102">
        <v>8899</v>
      </c>
      <c r="V6" s="102">
        <v>8648</v>
      </c>
      <c r="W6" s="102">
        <v>8542</v>
      </c>
      <c r="X6" s="102">
        <v>8740</v>
      </c>
      <c r="Y6" s="104" t="str">
        <f>TEXT((AC6-O6)/O6,"0.0%")</f>
        <v>64.6%</v>
      </c>
      <c r="Z6">
        <v>9999</v>
      </c>
      <c r="AA6">
        <v>10198</v>
      </c>
      <c r="AB6">
        <v>12500</v>
      </c>
      <c r="AC6">
        <v>13000</v>
      </c>
    </row>
    <row r="7" spans="2:31">
      <c r="B7" s="100"/>
      <c r="C7" s="98" t="s">
        <v>126</v>
      </c>
      <c r="D7" s="105">
        <v>66857</v>
      </c>
      <c r="E7">
        <f t="shared" si="0"/>
        <v>9.8</v>
      </c>
      <c r="H7" s="102">
        <v>7189</v>
      </c>
      <c r="I7" s="102">
        <v>6578</v>
      </c>
      <c r="J7" s="102">
        <v>6579</v>
      </c>
      <c r="K7" s="102">
        <v>6599</v>
      </c>
      <c r="L7" s="102">
        <v>6819</v>
      </c>
      <c r="M7" s="102">
        <v>6500</v>
      </c>
      <c r="N7" s="106">
        <v>6250</v>
      </c>
      <c r="O7" s="106">
        <v>6250</v>
      </c>
      <c r="P7" s="106">
        <v>6250</v>
      </c>
      <c r="Q7" s="102">
        <v>6299</v>
      </c>
      <c r="R7" s="102">
        <v>6400</v>
      </c>
      <c r="S7" s="101">
        <v>6800</v>
      </c>
      <c r="T7" s="101">
        <v>6800</v>
      </c>
      <c r="U7" s="101">
        <v>6899</v>
      </c>
      <c r="V7" s="101">
        <v>6765</v>
      </c>
      <c r="W7" s="101">
        <v>6771</v>
      </c>
      <c r="X7">
        <v>7128</v>
      </c>
      <c r="Y7" s="104" t="str">
        <f>TEXT((AC7-O7)/O7,"0.0%")</f>
        <v>52.0%</v>
      </c>
      <c r="Z7">
        <v>7799</v>
      </c>
      <c r="AA7">
        <v>8314</v>
      </c>
      <c r="AB7">
        <v>9000</v>
      </c>
      <c r="AC7">
        <v>9500</v>
      </c>
    </row>
    <row r="8" spans="2:31">
      <c r="B8" s="100"/>
      <c r="C8" s="98">
        <v>5070</v>
      </c>
      <c r="D8" s="107">
        <v>52209</v>
      </c>
      <c r="E8">
        <f t="shared" si="0"/>
        <v>11.71</v>
      </c>
      <c r="I8" s="102">
        <v>4761</v>
      </c>
      <c r="J8" s="101">
        <v>4569</v>
      </c>
      <c r="K8" s="102">
        <v>4628</v>
      </c>
      <c r="L8" s="102">
        <v>4459</v>
      </c>
      <c r="M8" s="102">
        <v>4400</v>
      </c>
      <c r="N8" s="106">
        <v>4200</v>
      </c>
      <c r="O8" s="102">
        <v>4299</v>
      </c>
      <c r="P8" s="102">
        <v>4250</v>
      </c>
      <c r="Q8" s="102">
        <v>4349</v>
      </c>
      <c r="R8" s="102">
        <v>4530</v>
      </c>
      <c r="S8" s="77">
        <v>4900</v>
      </c>
      <c r="T8" s="77">
        <v>4900</v>
      </c>
      <c r="U8" s="77">
        <v>4799</v>
      </c>
      <c r="V8" s="101">
        <v>4588</v>
      </c>
      <c r="W8" s="101">
        <v>4399</v>
      </c>
      <c r="X8">
        <v>4799</v>
      </c>
      <c r="Y8" s="104" t="str">
        <f>TEXT((AC8-N8)/N8,"0.0%")</f>
        <v>69.0%</v>
      </c>
      <c r="Z8">
        <v>5499</v>
      </c>
      <c r="AA8">
        <v>5779</v>
      </c>
      <c r="AB8">
        <v>6600</v>
      </c>
      <c r="AC8">
        <v>7100</v>
      </c>
    </row>
    <row r="9" spans="2:31">
      <c r="B9" s="100"/>
      <c r="C9" s="98" t="s">
        <v>146</v>
      </c>
      <c r="D9" s="108">
        <v>35924</v>
      </c>
      <c r="E9">
        <f t="shared" si="0"/>
        <v>9.98</v>
      </c>
      <c r="J9" s="102">
        <v>3599</v>
      </c>
      <c r="K9" s="102">
        <v>3599</v>
      </c>
      <c r="L9" s="101">
        <v>3599</v>
      </c>
      <c r="M9" s="102">
        <v>3450</v>
      </c>
      <c r="N9" s="102">
        <v>3300</v>
      </c>
      <c r="O9" s="102">
        <v>3299</v>
      </c>
      <c r="P9" s="102">
        <v>3300</v>
      </c>
      <c r="Q9" s="106">
        <v>3100</v>
      </c>
      <c r="R9" s="102">
        <v>3450</v>
      </c>
      <c r="S9" s="77">
        <v>3900</v>
      </c>
      <c r="T9" s="77">
        <v>3900</v>
      </c>
      <c r="U9" s="101">
        <v>3799</v>
      </c>
      <c r="V9" s="101">
        <v>3739</v>
      </c>
      <c r="W9" s="101">
        <v>3699</v>
      </c>
      <c r="X9" s="101">
        <v>3715</v>
      </c>
      <c r="Y9" s="104" t="str">
        <f>TEXT((AC9-Q9)/Q9,"0.0%")</f>
        <v>74.2%</v>
      </c>
      <c r="Z9">
        <v>4599</v>
      </c>
      <c r="AA9">
        <v>4899</v>
      </c>
      <c r="AB9">
        <v>5300</v>
      </c>
      <c r="AC9">
        <v>5400</v>
      </c>
    </row>
    <row r="10" spans="2:31">
      <c r="B10" s="100"/>
      <c r="C10" s="98" t="s">
        <v>147</v>
      </c>
      <c r="D10" s="108">
        <v>35924</v>
      </c>
      <c r="E10">
        <f t="shared" si="0"/>
        <v>11.59</v>
      </c>
      <c r="J10" s="102">
        <v>3199</v>
      </c>
      <c r="K10" s="101">
        <v>3266</v>
      </c>
      <c r="L10" s="102">
        <v>3099</v>
      </c>
      <c r="M10" s="102">
        <v>2929</v>
      </c>
      <c r="N10" s="102">
        <v>2900</v>
      </c>
      <c r="O10" s="102">
        <v>2900</v>
      </c>
      <c r="P10" s="102">
        <v>2900</v>
      </c>
      <c r="Q10" s="102">
        <v>2849</v>
      </c>
      <c r="R10" s="102">
        <v>2900</v>
      </c>
      <c r="S10" s="101">
        <v>3100</v>
      </c>
      <c r="T10" s="101">
        <v>3100</v>
      </c>
      <c r="U10" s="102">
        <v>2749</v>
      </c>
      <c r="V10" s="106">
        <v>2688</v>
      </c>
      <c r="W10" s="106">
        <v>2698</v>
      </c>
      <c r="X10" s="102">
        <v>2899</v>
      </c>
      <c r="Y10" s="105" t="str">
        <f>TEXT((AC10-V10)/V10,"0.0%")</f>
        <v>37.6%</v>
      </c>
      <c r="Z10" s="101">
        <v>3199</v>
      </c>
      <c r="AA10" s="101">
        <v>3299</v>
      </c>
      <c r="AB10">
        <v>3500</v>
      </c>
      <c r="AC10">
        <v>3700</v>
      </c>
    </row>
    <row r="11" spans="2:31">
      <c r="B11" s="100"/>
      <c r="C11" s="98">
        <v>5060</v>
      </c>
      <c r="D11" s="109">
        <v>32816</v>
      </c>
      <c r="E11">
        <f t="shared" si="0"/>
        <v>13.13</v>
      </c>
      <c r="K11" s="101">
        <v>2648</v>
      </c>
      <c r="L11" s="101">
        <v>2499</v>
      </c>
      <c r="M11" s="102">
        <v>2340</v>
      </c>
      <c r="N11" s="106">
        <v>2200</v>
      </c>
      <c r="O11" s="102">
        <v>2399</v>
      </c>
      <c r="P11" s="106">
        <v>2280</v>
      </c>
      <c r="Q11" s="106">
        <v>2269</v>
      </c>
      <c r="R11" s="102">
        <v>2370</v>
      </c>
      <c r="S11" s="77">
        <v>2650</v>
      </c>
      <c r="T11" s="77">
        <v>2650</v>
      </c>
      <c r="U11" s="101">
        <v>2499</v>
      </c>
      <c r="V11" s="102">
        <v>2317</v>
      </c>
      <c r="W11" s="106">
        <v>2288</v>
      </c>
      <c r="X11" s="102">
        <v>2379</v>
      </c>
      <c r="Y11" s="104" t="str">
        <f>TEXT((AC11-N11)/N11,"0.0%")</f>
        <v>50.0%</v>
      </c>
      <c r="Z11" s="101">
        <v>2690</v>
      </c>
      <c r="AA11">
        <v>2801</v>
      </c>
      <c r="AB11">
        <v>3000</v>
      </c>
      <c r="AC11">
        <v>3300</v>
      </c>
    </row>
    <row r="12" spans="2:31">
      <c r="B12" s="100"/>
      <c r="C12" s="110">
        <v>5050</v>
      </c>
      <c r="D12" s="111">
        <v>23537</v>
      </c>
      <c r="E12">
        <f t="shared" si="0"/>
        <v>11.21</v>
      </c>
      <c r="L12" s="101">
        <v>2099</v>
      </c>
      <c r="M12" s="102">
        <v>1889</v>
      </c>
      <c r="N12" s="102">
        <v>1850</v>
      </c>
      <c r="O12" s="106">
        <v>1779</v>
      </c>
      <c r="P12" s="106">
        <v>1779</v>
      </c>
      <c r="Q12" s="106">
        <v>1718</v>
      </c>
      <c r="R12" s="102">
        <v>1800</v>
      </c>
      <c r="S12" s="101">
        <v>2050</v>
      </c>
      <c r="T12" s="101">
        <v>2050</v>
      </c>
      <c r="U12" s="101">
        <v>1999</v>
      </c>
      <c r="V12" s="102">
        <v>1889</v>
      </c>
      <c r="W12" s="106">
        <v>1789</v>
      </c>
      <c r="X12" s="102">
        <v>1879</v>
      </c>
      <c r="Y12" s="104" t="str">
        <f>TEXT((AC12-Q12)/Q12,"0.0%")</f>
        <v>51.3%</v>
      </c>
      <c r="Z12" s="101">
        <v>2099</v>
      </c>
      <c r="AA12">
        <v>2224</v>
      </c>
      <c r="AB12">
        <v>2500</v>
      </c>
      <c r="AC12">
        <v>2600</v>
      </c>
    </row>
    <row r="13" spans="2:31">
      <c r="B13" s="112" t="s">
        <v>361</v>
      </c>
      <c r="C13" s="98">
        <v>4090</v>
      </c>
      <c r="D13" s="104">
        <v>91166</v>
      </c>
      <c r="F13">
        <v>18299</v>
      </c>
      <c r="G13">
        <v>18499</v>
      </c>
      <c r="H13">
        <v>18800</v>
      </c>
      <c r="I13">
        <v>19000</v>
      </c>
      <c r="J13">
        <v>22500</v>
      </c>
      <c r="M13" s="77"/>
      <c r="N13" s="77"/>
      <c r="O13" s="77"/>
      <c r="P13" s="77"/>
      <c r="Q13" s="77"/>
      <c r="R13" s="77"/>
      <c r="S13" s="77"/>
      <c r="T13" s="77"/>
      <c r="U13" s="77"/>
      <c r="V13" s="77"/>
      <c r="Y13" s="77"/>
    </row>
    <row r="14" spans="2:31">
      <c r="B14" s="113"/>
      <c r="C14" s="98" t="s">
        <v>114</v>
      </c>
      <c r="D14" s="104">
        <v>85024</v>
      </c>
      <c r="F14">
        <v>14599</v>
      </c>
      <c r="G14">
        <v>14399</v>
      </c>
      <c r="H14">
        <v>16879</v>
      </c>
      <c r="I14">
        <v>16715</v>
      </c>
      <c r="J14">
        <v>18000</v>
      </c>
      <c r="M14" s="77"/>
      <c r="N14" s="77"/>
      <c r="O14" s="77"/>
      <c r="P14" s="77"/>
      <c r="Q14" s="77"/>
      <c r="R14" s="77"/>
      <c r="S14" s="77"/>
      <c r="T14" s="77"/>
      <c r="U14" s="77"/>
      <c r="V14" s="77"/>
      <c r="Y14" s="77"/>
    </row>
    <row r="15" spans="2:31">
      <c r="B15" s="113"/>
      <c r="C15" s="98" t="s">
        <v>125</v>
      </c>
      <c r="D15" s="105">
        <v>67687</v>
      </c>
      <c r="F15">
        <v>7254</v>
      </c>
      <c r="G15" s="101">
        <v>7299</v>
      </c>
      <c r="H15">
        <v>7697</v>
      </c>
      <c r="I15">
        <v>8600</v>
      </c>
      <c r="J15">
        <v>8899</v>
      </c>
      <c r="M15" s="77"/>
      <c r="N15" s="77"/>
      <c r="O15" s="77"/>
      <c r="P15" s="77"/>
      <c r="Q15" s="77"/>
      <c r="R15" s="77"/>
      <c r="S15" s="77"/>
      <c r="T15" s="77"/>
      <c r="U15" s="77"/>
      <c r="V15" s="77"/>
      <c r="Y15" s="77"/>
    </row>
    <row r="16" spans="2:31">
      <c r="B16" s="113"/>
      <c r="C16" s="98" t="s">
        <v>128</v>
      </c>
      <c r="D16" s="107">
        <v>57038</v>
      </c>
      <c r="F16" s="101">
        <v>5588</v>
      </c>
      <c r="G16" s="101">
        <v>5549</v>
      </c>
      <c r="H16" s="101">
        <v>5948</v>
      </c>
      <c r="I16">
        <v>5999</v>
      </c>
      <c r="M16" s="77"/>
      <c r="N16" s="77"/>
      <c r="O16" s="77"/>
      <c r="P16" s="77"/>
      <c r="Q16" s="77"/>
      <c r="R16" s="77"/>
      <c r="S16" s="77"/>
      <c r="T16" s="77"/>
      <c r="U16" s="77"/>
      <c r="V16" s="77"/>
      <c r="Y16" s="77"/>
    </row>
    <row r="17" spans="2:29">
      <c r="B17" s="113"/>
      <c r="C17" s="98" t="s">
        <v>135</v>
      </c>
      <c r="D17" s="107">
        <v>49052</v>
      </c>
      <c r="E17">
        <f t="shared" si="0"/>
        <v>11.42</v>
      </c>
      <c r="F17" s="102">
        <v>4699</v>
      </c>
      <c r="G17">
        <v>4867</v>
      </c>
      <c r="H17">
        <v>5059</v>
      </c>
      <c r="I17">
        <v>4589</v>
      </c>
      <c r="J17" s="102">
        <v>4199</v>
      </c>
      <c r="K17" s="102">
        <v>4199</v>
      </c>
      <c r="L17">
        <v>4294</v>
      </c>
      <c r="M17" s="77"/>
      <c r="N17" s="77"/>
      <c r="O17" s="77"/>
      <c r="P17" s="77"/>
      <c r="Q17" s="77"/>
      <c r="R17" s="77"/>
      <c r="S17" s="77"/>
      <c r="T17" s="77"/>
      <c r="U17" s="77"/>
      <c r="V17" s="77"/>
      <c r="Y17" s="77"/>
    </row>
    <row r="18" spans="2:29">
      <c r="B18" s="113"/>
      <c r="C18" s="98">
        <v>4070</v>
      </c>
      <c r="D18" s="107">
        <v>41204</v>
      </c>
      <c r="E18">
        <f t="shared" si="0"/>
        <v>11.45</v>
      </c>
      <c r="F18" s="101">
        <v>3889</v>
      </c>
      <c r="G18">
        <v>3964</v>
      </c>
      <c r="H18">
        <v>3948</v>
      </c>
      <c r="I18">
        <v>4070</v>
      </c>
      <c r="J18">
        <v>3999</v>
      </c>
      <c r="K18">
        <v>3649</v>
      </c>
      <c r="L18">
        <v>3599</v>
      </c>
      <c r="M18" s="77"/>
      <c r="N18" s="77"/>
      <c r="O18" s="77"/>
      <c r="P18" s="77"/>
      <c r="Q18" s="77"/>
      <c r="R18" s="77"/>
      <c r="S18" s="77"/>
      <c r="T18" s="77"/>
      <c r="U18" s="77"/>
      <c r="V18" s="77"/>
      <c r="Y18" s="77"/>
    </row>
    <row r="19" spans="2:29">
      <c r="B19" s="113"/>
      <c r="C19" s="98" t="s">
        <v>153</v>
      </c>
      <c r="D19" s="108">
        <v>30861</v>
      </c>
      <c r="E19">
        <f t="shared" si="0"/>
        <v>10.65</v>
      </c>
      <c r="F19" s="101">
        <v>3402</v>
      </c>
      <c r="G19">
        <v>3699</v>
      </c>
      <c r="H19" s="101">
        <v>3519</v>
      </c>
      <c r="I19" s="101">
        <v>3650</v>
      </c>
      <c r="L19" s="101">
        <v>2899</v>
      </c>
      <c r="M19" s="77">
        <v>3269</v>
      </c>
      <c r="N19" s="77"/>
      <c r="O19" s="77"/>
      <c r="P19" s="77"/>
      <c r="Q19" s="77"/>
      <c r="R19" s="77"/>
      <c r="S19" s="77"/>
      <c r="T19" s="77"/>
      <c r="U19" s="77"/>
      <c r="V19" s="77"/>
      <c r="Y19" s="77"/>
    </row>
    <row r="20" spans="2:29">
      <c r="B20" s="113"/>
      <c r="C20" s="98" t="s">
        <v>154</v>
      </c>
      <c r="D20" s="108">
        <v>30861</v>
      </c>
      <c r="E20">
        <f t="shared" si="0"/>
        <v>13.42</v>
      </c>
      <c r="F20" s="101">
        <v>2945</v>
      </c>
      <c r="G20">
        <v>3232</v>
      </c>
      <c r="H20">
        <v>3219</v>
      </c>
      <c r="I20" s="101">
        <v>2999</v>
      </c>
      <c r="J20">
        <v>2959</v>
      </c>
      <c r="K20">
        <v>2969</v>
      </c>
      <c r="L20">
        <v>2299</v>
      </c>
      <c r="M20" s="77">
        <v>2299</v>
      </c>
      <c r="N20" s="77"/>
      <c r="O20" s="77"/>
      <c r="P20" s="77"/>
      <c r="Q20" s="77"/>
      <c r="R20" s="77"/>
      <c r="S20" s="77"/>
      <c r="T20" s="77"/>
      <c r="U20" s="77"/>
      <c r="V20" s="77"/>
      <c r="Y20" s="77"/>
    </row>
    <row r="21" spans="2:29">
      <c r="B21" s="113"/>
      <c r="C21" s="98">
        <v>4060</v>
      </c>
      <c r="D21" s="114">
        <v>23865</v>
      </c>
      <c r="E21">
        <f t="shared" si="0"/>
        <v>10.87</v>
      </c>
      <c r="F21" s="101">
        <v>2014</v>
      </c>
      <c r="G21" s="101">
        <v>2061</v>
      </c>
      <c r="H21" s="101">
        <v>2229</v>
      </c>
      <c r="I21">
        <v>2398</v>
      </c>
      <c r="J21">
        <v>2324</v>
      </c>
      <c r="K21">
        <v>2399</v>
      </c>
      <c r="L21">
        <v>2195</v>
      </c>
      <c r="M21" s="77">
        <v>2200</v>
      </c>
      <c r="N21" s="77"/>
      <c r="O21" s="77"/>
      <c r="P21" s="77"/>
      <c r="Q21" s="77"/>
      <c r="R21" s="77"/>
      <c r="S21" s="77"/>
      <c r="T21" s="77"/>
      <c r="U21" s="77"/>
      <c r="V21" s="77"/>
      <c r="Y21" s="77"/>
    </row>
    <row r="22" s="77" customFormat="1" spans="2:29">
      <c r="B22" s="88" t="s">
        <v>362</v>
      </c>
      <c r="C22" s="115" t="s">
        <v>120</v>
      </c>
      <c r="D22" s="105">
        <v>68953</v>
      </c>
      <c r="E22">
        <f t="shared" si="0"/>
        <v>13.79</v>
      </c>
      <c r="I22" s="90">
        <v>5499</v>
      </c>
      <c r="J22" s="90">
        <v>5289</v>
      </c>
      <c r="K22" s="90">
        <v>5289</v>
      </c>
      <c r="L22" s="89">
        <v>4999</v>
      </c>
      <c r="M22" s="89">
        <v>4819</v>
      </c>
      <c r="N22" s="89">
        <v>4799</v>
      </c>
      <c r="O22" s="89">
        <v>4799</v>
      </c>
      <c r="P22" s="89">
        <v>4699</v>
      </c>
      <c r="Q22" s="89">
        <v>4579</v>
      </c>
      <c r="R22" s="89">
        <v>4500</v>
      </c>
      <c r="S22" s="90">
        <v>5100</v>
      </c>
      <c r="T22" s="90">
        <v>5100</v>
      </c>
      <c r="U22" s="89">
        <v>4799</v>
      </c>
      <c r="V22" s="89">
        <v>4649</v>
      </c>
      <c r="W22" s="116">
        <v>4123</v>
      </c>
      <c r="X22" s="116">
        <v>4199</v>
      </c>
      <c r="Y22" s="105" t="str">
        <f>TEXT((AC22-W22)/W22,"0.0%")</f>
        <v>48.0%</v>
      </c>
      <c r="Z22" s="89">
        <v>4799</v>
      </c>
      <c r="AA22" s="90">
        <v>5199</v>
      </c>
      <c r="AB22" s="77">
        <v>5700</v>
      </c>
      <c r="AC22" s="77">
        <v>6100</v>
      </c>
    </row>
    <row r="23" s="77" customFormat="1" spans="2:29">
      <c r="B23" s="88"/>
      <c r="C23" s="115">
        <v>9070</v>
      </c>
      <c r="D23" s="105">
        <v>60503</v>
      </c>
      <c r="E23">
        <f t="shared" si="0"/>
        <v>13.66</v>
      </c>
      <c r="I23" s="90">
        <v>4750</v>
      </c>
      <c r="J23" s="90">
        <v>4599</v>
      </c>
      <c r="K23" s="89">
        <v>4438</v>
      </c>
      <c r="L23" s="89">
        <v>4429</v>
      </c>
      <c r="M23" s="89">
        <v>4319</v>
      </c>
      <c r="N23" s="89">
        <v>4199</v>
      </c>
      <c r="O23" s="89">
        <v>4199</v>
      </c>
      <c r="P23" s="89">
        <v>4199</v>
      </c>
      <c r="Q23" s="116">
        <v>3838</v>
      </c>
      <c r="R23" s="89">
        <v>4199</v>
      </c>
      <c r="S23" s="90">
        <v>4600</v>
      </c>
      <c r="T23" s="90">
        <v>4600</v>
      </c>
      <c r="U23" s="89">
        <v>4449</v>
      </c>
      <c r="V23" s="89">
        <v>4199</v>
      </c>
      <c r="W23" s="116">
        <v>3759</v>
      </c>
      <c r="X23" s="116">
        <v>3861</v>
      </c>
      <c r="Y23" s="105" t="str">
        <f>TEXT((AC23-W23)/W23,"0.0%")</f>
        <v>43.7%</v>
      </c>
      <c r="Z23" s="89">
        <v>4399</v>
      </c>
      <c r="AA23" s="90">
        <v>4689</v>
      </c>
      <c r="AB23" s="77">
        <v>5200</v>
      </c>
      <c r="AC23" s="77">
        <v>5400</v>
      </c>
    </row>
    <row r="24" customFormat="1" spans="2:29">
      <c r="B24" s="88"/>
      <c r="C24" s="98" t="s">
        <v>133</v>
      </c>
      <c r="D24" s="107">
        <v>52384</v>
      </c>
      <c r="E24">
        <f t="shared" si="0"/>
        <v>14.6</v>
      </c>
      <c r="J24" s="90">
        <v>3899</v>
      </c>
      <c r="K24" s="90">
        <v>3699</v>
      </c>
      <c r="L24" s="90">
        <v>3589</v>
      </c>
      <c r="M24" s="89">
        <v>3299</v>
      </c>
      <c r="N24" s="89">
        <v>3299</v>
      </c>
      <c r="O24" s="89">
        <v>3100</v>
      </c>
      <c r="P24" s="89">
        <v>3299</v>
      </c>
      <c r="Q24" s="89">
        <v>3169</v>
      </c>
      <c r="R24" s="89">
        <v>3350</v>
      </c>
      <c r="S24" s="90">
        <v>3559</v>
      </c>
      <c r="T24" s="90">
        <v>3559</v>
      </c>
      <c r="U24" s="89">
        <v>3499</v>
      </c>
      <c r="V24" s="89">
        <v>3269</v>
      </c>
      <c r="W24" s="116">
        <v>2929</v>
      </c>
      <c r="X24" s="89">
        <v>3300</v>
      </c>
      <c r="Y24" s="105" t="str">
        <f>TEXT((AC24-W24)/W24,"0.0%")</f>
        <v>43.4%</v>
      </c>
      <c r="Z24" s="89">
        <v>3499</v>
      </c>
      <c r="AA24" s="90">
        <v>3688</v>
      </c>
      <c r="AB24" s="90">
        <v>3900</v>
      </c>
      <c r="AC24">
        <v>4200</v>
      </c>
    </row>
    <row r="25" customFormat="1" spans="2:29">
      <c r="B25" s="88"/>
      <c r="C25" s="98" t="s">
        <v>143</v>
      </c>
      <c r="D25" s="108">
        <v>37402</v>
      </c>
      <c r="E25">
        <f t="shared" si="0"/>
        <v>13.66</v>
      </c>
      <c r="L25" s="90">
        <v>2739</v>
      </c>
      <c r="M25" s="90">
        <v>2499</v>
      </c>
      <c r="N25" s="90">
        <v>2570</v>
      </c>
      <c r="O25" s="89">
        <v>2499</v>
      </c>
      <c r="P25" s="89">
        <v>2420</v>
      </c>
      <c r="Q25" s="89">
        <v>2479</v>
      </c>
      <c r="R25" s="90">
        <v>2550</v>
      </c>
      <c r="S25" s="90">
        <v>2759</v>
      </c>
      <c r="T25" s="90">
        <v>2759</v>
      </c>
      <c r="U25" s="90">
        <v>2649</v>
      </c>
      <c r="V25" s="90">
        <v>2639</v>
      </c>
      <c r="W25" s="116">
        <v>2300</v>
      </c>
      <c r="X25" s="89">
        <v>2448</v>
      </c>
      <c r="Y25" s="104" t="str">
        <f>TEXT((AC25-W25)/W25,"0.0%")</f>
        <v>56.5%</v>
      </c>
      <c r="Z25" s="90">
        <v>2794</v>
      </c>
      <c r="AA25">
        <v>3075</v>
      </c>
      <c r="AB25">
        <v>3300</v>
      </c>
      <c r="AC25">
        <v>3600</v>
      </c>
    </row>
    <row r="26" customFormat="1" spans="2:29">
      <c r="B26" s="88"/>
      <c r="C26" s="98" t="s">
        <v>148</v>
      </c>
      <c r="D26" s="108">
        <v>35550</v>
      </c>
      <c r="E26">
        <f t="shared" si="0"/>
        <v>15.46</v>
      </c>
      <c r="L26" s="90">
        <v>2299</v>
      </c>
      <c r="M26" s="90">
        <v>2219</v>
      </c>
      <c r="N26" s="89">
        <v>2050</v>
      </c>
      <c r="O26" s="89">
        <v>2079</v>
      </c>
      <c r="P26" s="116">
        <v>1980</v>
      </c>
      <c r="Q26" s="90">
        <v>2199</v>
      </c>
      <c r="R26" s="89">
        <v>2100</v>
      </c>
      <c r="S26" s="90">
        <v>2159</v>
      </c>
      <c r="T26" s="90">
        <v>2159</v>
      </c>
      <c r="U26" s="89">
        <v>2099</v>
      </c>
      <c r="V26" s="89">
        <v>2099</v>
      </c>
      <c r="W26" s="89">
        <v>2024</v>
      </c>
      <c r="X26" s="89">
        <v>2188</v>
      </c>
      <c r="Y26" s="105" t="str">
        <f>TEXT((AC26-P26)/P26,"0.0%")</f>
        <v>41.4%</v>
      </c>
      <c r="Z26" s="90">
        <v>2199</v>
      </c>
      <c r="AA26" s="90">
        <v>2450</v>
      </c>
      <c r="AB26">
        <v>2600</v>
      </c>
      <c r="AC26">
        <v>2800</v>
      </c>
    </row>
    <row r="27" spans="2:29">
      <c r="B27" s="92" t="s">
        <v>363</v>
      </c>
      <c r="C27" s="98" t="s">
        <v>122</v>
      </c>
      <c r="D27" s="105">
        <v>68852</v>
      </c>
      <c r="E27">
        <f t="shared" si="0"/>
        <v>11.48</v>
      </c>
      <c r="F27">
        <v>6648</v>
      </c>
      <c r="G27">
        <v>6799</v>
      </c>
      <c r="H27">
        <v>7996</v>
      </c>
      <c r="I27">
        <v>7999</v>
      </c>
      <c r="J27">
        <v>6739</v>
      </c>
      <c r="K27">
        <v>6600</v>
      </c>
      <c r="L27">
        <v>5999</v>
      </c>
      <c r="M27" s="77">
        <v>5299</v>
      </c>
      <c r="N27" s="77">
        <v>5799</v>
      </c>
      <c r="O27" s="77">
        <v>5789</v>
      </c>
      <c r="P27" s="77"/>
      <c r="Q27" s="77"/>
      <c r="R27" s="77"/>
      <c r="S27" s="77"/>
      <c r="T27" s="77"/>
      <c r="U27" s="77"/>
      <c r="V27" s="77"/>
      <c r="Y27" s="77"/>
    </row>
    <row r="28" spans="2:29">
      <c r="B28" s="117"/>
      <c r="C28" s="98" t="s">
        <v>127</v>
      </c>
      <c r="D28" s="107">
        <v>59178</v>
      </c>
      <c r="E28">
        <f t="shared" si="0"/>
        <v>12.59</v>
      </c>
      <c r="F28" s="90">
        <v>4600</v>
      </c>
      <c r="G28" s="90">
        <v>4619</v>
      </c>
      <c r="H28">
        <v>5096</v>
      </c>
      <c r="I28">
        <v>5099</v>
      </c>
      <c r="J28">
        <v>4774</v>
      </c>
      <c r="K28">
        <v>4789</v>
      </c>
      <c r="L28">
        <v>4699</v>
      </c>
      <c r="M28" s="90">
        <v>3999</v>
      </c>
      <c r="N28" s="90">
        <v>3999</v>
      </c>
      <c r="O28" s="90">
        <v>3899</v>
      </c>
      <c r="P28" s="77"/>
      <c r="Q28" s="77"/>
      <c r="R28" s="77"/>
      <c r="S28" s="77"/>
      <c r="T28" s="77"/>
      <c r="U28" s="77"/>
      <c r="V28" s="77"/>
      <c r="Y28" s="77"/>
    </row>
    <row r="29" spans="2:29">
      <c r="B29" s="117"/>
      <c r="C29" s="98" t="s">
        <v>134</v>
      </c>
      <c r="D29" s="107">
        <v>49316</v>
      </c>
      <c r="E29">
        <f t="shared" si="0"/>
        <v>12.33</v>
      </c>
      <c r="F29">
        <v>4279</v>
      </c>
      <c r="G29">
        <v>4382</v>
      </c>
      <c r="H29">
        <v>4399</v>
      </c>
      <c r="I29">
        <v>4699</v>
      </c>
      <c r="J29">
        <v>3999</v>
      </c>
      <c r="K29">
        <v>3899</v>
      </c>
      <c r="L29">
        <v>3999</v>
      </c>
      <c r="M29" s="77"/>
      <c r="N29" s="77"/>
      <c r="O29" s="77"/>
      <c r="P29" s="77"/>
      <c r="Q29" s="77"/>
      <c r="R29" s="77"/>
      <c r="S29" s="77"/>
      <c r="T29" s="77"/>
      <c r="U29" s="77"/>
      <c r="V29" s="77"/>
      <c r="Y29" s="77"/>
    </row>
    <row r="30" spans="2:29">
      <c r="B30" s="117"/>
      <c r="C30" s="98" t="s">
        <v>140</v>
      </c>
      <c r="D30" s="107">
        <v>44404</v>
      </c>
      <c r="E30">
        <f t="shared" si="0"/>
        <v>12.69</v>
      </c>
      <c r="F30" s="90">
        <v>3297</v>
      </c>
      <c r="G30" s="89">
        <v>3249</v>
      </c>
      <c r="H30" s="89">
        <v>3499</v>
      </c>
      <c r="I30" s="89">
        <v>3612</v>
      </c>
      <c r="J30">
        <v>3539</v>
      </c>
      <c r="K30" s="89">
        <v>3399</v>
      </c>
      <c r="L30">
        <v>3499</v>
      </c>
      <c r="M30" s="77">
        <v>3590</v>
      </c>
      <c r="N30" s="90">
        <v>3400</v>
      </c>
      <c r="O30" s="90">
        <v>3199</v>
      </c>
      <c r="P30" s="77"/>
      <c r="Q30" s="77"/>
      <c r="R30" s="77"/>
      <c r="S30" s="77"/>
      <c r="T30" s="77"/>
      <c r="U30" s="77"/>
      <c r="V30" s="77"/>
      <c r="Y30" s="77"/>
    </row>
    <row r="31" spans="2:29">
      <c r="B31" s="117"/>
      <c r="C31" s="98" t="s">
        <v>144</v>
      </c>
      <c r="D31" s="108">
        <v>37268</v>
      </c>
      <c r="E31">
        <f t="shared" si="0"/>
        <v>12.86</v>
      </c>
      <c r="F31" s="89">
        <v>2789</v>
      </c>
      <c r="G31" s="90">
        <v>2900</v>
      </c>
      <c r="H31" s="89">
        <v>2799</v>
      </c>
      <c r="I31" s="90">
        <v>2779</v>
      </c>
      <c r="J31">
        <v>2909</v>
      </c>
      <c r="K31">
        <v>2909</v>
      </c>
      <c r="L31">
        <v>2899</v>
      </c>
      <c r="M31" s="77">
        <v>2869</v>
      </c>
      <c r="N31" s="90">
        <v>2499</v>
      </c>
      <c r="O31" s="90">
        <v>2389</v>
      </c>
      <c r="P31" s="77"/>
      <c r="Q31" s="77"/>
      <c r="R31" s="77"/>
      <c r="S31" s="77"/>
      <c r="T31" s="77"/>
      <c r="U31" s="77"/>
      <c r="V31" s="77"/>
      <c r="Y31" s="77"/>
    </row>
    <row r="32" spans="2:29">
      <c r="B32" s="117"/>
      <c r="C32" s="98" t="s">
        <v>166</v>
      </c>
      <c r="D32" s="114">
        <v>23981</v>
      </c>
      <c r="E32">
        <f t="shared" si="0"/>
        <v>13.64</v>
      </c>
      <c r="F32" s="77"/>
      <c r="H32" s="90">
        <v>1849</v>
      </c>
      <c r="I32" s="89">
        <v>1785</v>
      </c>
      <c r="J32" s="89">
        <v>1756</v>
      </c>
      <c r="K32" s="89">
        <v>1727</v>
      </c>
      <c r="L32" s="90">
        <v>1758</v>
      </c>
      <c r="M32" s="89">
        <v>1590</v>
      </c>
      <c r="N32" s="89">
        <v>1550</v>
      </c>
      <c r="O32" s="89">
        <v>1699</v>
      </c>
      <c r="P32" s="89">
        <v>1619</v>
      </c>
      <c r="Q32" s="89">
        <v>1619</v>
      </c>
      <c r="R32" s="90">
        <v>1750</v>
      </c>
      <c r="S32" s="90">
        <v>1750</v>
      </c>
      <c r="T32" s="90">
        <v>1750</v>
      </c>
      <c r="U32" s="90">
        <v>1699</v>
      </c>
      <c r="V32" s="89">
        <v>1643</v>
      </c>
      <c r="W32" s="89">
        <v>1623</v>
      </c>
      <c r="X32" s="90">
        <v>1739</v>
      </c>
      <c r="Y32" s="104" t="str">
        <f>TEXT((AC32-N32)/N32,"0.0%")</f>
        <v>54.8%</v>
      </c>
      <c r="Z32" s="90">
        <v>1800</v>
      </c>
      <c r="AA32" s="90">
        <v>1874</v>
      </c>
      <c r="AB32" s="90">
        <v>2000</v>
      </c>
      <c r="AC32">
        <v>2400</v>
      </c>
    </row>
    <row r="33" spans="2:29">
      <c r="B33" s="117"/>
      <c r="C33" s="98">
        <v>7600</v>
      </c>
      <c r="D33" s="114">
        <v>24153</v>
      </c>
      <c r="F33">
        <v>1699</v>
      </c>
      <c r="G33" s="90">
        <v>1748</v>
      </c>
      <c r="H33">
        <v>2099</v>
      </c>
      <c r="I33">
        <v>2099</v>
      </c>
      <c r="J33" s="90">
        <v>1700</v>
      </c>
      <c r="K33" s="90">
        <v>1688</v>
      </c>
      <c r="M33" s="77"/>
      <c r="N33" s="77"/>
      <c r="O33" s="77"/>
      <c r="P33" s="77"/>
      <c r="Q33" s="77"/>
      <c r="R33" s="77"/>
      <c r="S33" s="77"/>
      <c r="T33" s="77"/>
      <c r="U33" s="77"/>
      <c r="V33" s="77"/>
      <c r="Y33" s="77"/>
    </row>
    <row r="34" spans="2:29">
      <c r="B34" s="118" t="s">
        <v>364</v>
      </c>
      <c r="C34" s="98" t="s">
        <v>365</v>
      </c>
      <c r="D34" s="114">
        <v>27231</v>
      </c>
      <c r="F34">
        <v>2399</v>
      </c>
      <c r="G34">
        <v>2494</v>
      </c>
      <c r="H34">
        <v>2549</v>
      </c>
      <c r="I34">
        <v>2398</v>
      </c>
      <c r="M34" s="77"/>
      <c r="N34" s="77"/>
      <c r="O34" s="77"/>
      <c r="P34" s="77"/>
      <c r="Q34" s="77"/>
      <c r="R34" s="77"/>
      <c r="S34" s="77"/>
      <c r="T34" s="77"/>
      <c r="U34" s="77"/>
      <c r="V34" s="77"/>
      <c r="Y34" s="77"/>
    </row>
    <row r="35" spans="2:29">
      <c r="B35" s="119"/>
      <c r="C35" s="98" t="s">
        <v>168</v>
      </c>
      <c r="D35" s="114">
        <v>23560</v>
      </c>
      <c r="E35">
        <f t="shared" si="0"/>
        <v>11.85</v>
      </c>
      <c r="F35" s="89">
        <v>1699</v>
      </c>
      <c r="G35">
        <v>1909</v>
      </c>
      <c r="H35" s="89">
        <v>1889</v>
      </c>
      <c r="I35">
        <v>2099</v>
      </c>
      <c r="J35">
        <v>2049</v>
      </c>
      <c r="K35">
        <v>1989</v>
      </c>
      <c r="L35">
        <v>1988</v>
      </c>
      <c r="M35" s="77">
        <v>1969</v>
      </c>
      <c r="N35" s="77"/>
      <c r="O35" s="77"/>
      <c r="P35" s="77"/>
      <c r="Q35" s="77"/>
      <c r="R35" s="77"/>
      <c r="S35" s="77"/>
      <c r="T35" s="77"/>
      <c r="U35" s="77"/>
      <c r="V35" s="77"/>
      <c r="Y35" s="77"/>
    </row>
    <row r="36" spans="2:29">
      <c r="B36" s="119"/>
      <c r="C36" s="98" t="s">
        <v>172</v>
      </c>
      <c r="D36" s="114">
        <v>21062</v>
      </c>
      <c r="F36">
        <v>1599</v>
      </c>
      <c r="G36">
        <v>1789</v>
      </c>
      <c r="M36" s="77"/>
      <c r="N36" s="77"/>
      <c r="O36" s="77"/>
      <c r="P36" s="77"/>
      <c r="Q36" s="77"/>
      <c r="R36" s="77"/>
      <c r="S36" s="77"/>
      <c r="T36" s="77"/>
      <c r="U36" s="77"/>
      <c r="V36" s="77"/>
      <c r="Y36" s="77"/>
    </row>
    <row r="37" spans="2:29">
      <c r="B37" s="119"/>
      <c r="C37" s="98">
        <v>6600</v>
      </c>
      <c r="D37" s="120">
        <v>17107</v>
      </c>
      <c r="F37">
        <v>1320</v>
      </c>
      <c r="G37">
        <v>1320</v>
      </c>
      <c r="H37">
        <v>1449</v>
      </c>
      <c r="I37">
        <v>1415</v>
      </c>
      <c r="J37">
        <v>1359</v>
      </c>
      <c r="M37" s="77"/>
      <c r="N37" s="77"/>
      <c r="O37" s="77"/>
      <c r="P37" s="77"/>
      <c r="Q37" s="77"/>
      <c r="R37" s="77"/>
      <c r="S37" s="77"/>
      <c r="T37" s="77"/>
      <c r="U37" s="77"/>
      <c r="V37" s="77"/>
      <c r="Y37" s="77"/>
    </row>
    <row r="38" spans="2:29">
      <c r="B38" s="119"/>
      <c r="C38" s="98" t="s">
        <v>187</v>
      </c>
      <c r="D38" s="121">
        <v>8617</v>
      </c>
      <c r="F38">
        <v>849</v>
      </c>
      <c r="G38">
        <v>849</v>
      </c>
      <c r="H38">
        <v>869</v>
      </c>
      <c r="I38">
        <v>1099</v>
      </c>
      <c r="J38">
        <v>888</v>
      </c>
      <c r="M38" s="77"/>
      <c r="N38" s="77"/>
      <c r="O38" s="77"/>
      <c r="P38" s="77"/>
      <c r="Q38" s="77"/>
      <c r="R38" s="77"/>
      <c r="S38" s="77"/>
      <c r="T38" s="77"/>
      <c r="U38" s="77"/>
      <c r="V38" s="77"/>
      <c r="Y38" s="77"/>
    </row>
    <row r="39" spans="2:29">
      <c r="B39" s="119"/>
      <c r="C39" s="98">
        <v>6400</v>
      </c>
      <c r="D39" s="121">
        <v>5696</v>
      </c>
      <c r="F39">
        <v>799</v>
      </c>
      <c r="G39">
        <v>849</v>
      </c>
      <c r="H39">
        <v>799</v>
      </c>
      <c r="I39">
        <v>949</v>
      </c>
      <c r="J39">
        <v>949</v>
      </c>
      <c r="M39" s="77"/>
      <c r="N39" s="77"/>
      <c r="O39" s="77"/>
      <c r="P39" s="77"/>
      <c r="Q39" s="77"/>
      <c r="R39" s="77"/>
      <c r="S39" s="77"/>
      <c r="T39" s="77"/>
      <c r="U39" s="77"/>
      <c r="V39" s="77"/>
      <c r="Y39" s="77"/>
    </row>
    <row r="40" spans="2:29">
      <c r="B40" s="122" t="s">
        <v>366</v>
      </c>
      <c r="C40" s="98" t="s">
        <v>151</v>
      </c>
      <c r="D40" s="108">
        <v>32989</v>
      </c>
      <c r="E40">
        <f t="shared" si="0"/>
        <v>18.04</v>
      </c>
      <c r="F40" s="80">
        <v>1799</v>
      </c>
      <c r="G40" s="80">
        <v>1800</v>
      </c>
      <c r="H40" s="80">
        <v>1849</v>
      </c>
      <c r="I40" s="80">
        <v>1859</v>
      </c>
      <c r="J40" s="80">
        <v>1819</v>
      </c>
      <c r="K40" s="80">
        <v>1819</v>
      </c>
      <c r="L40" s="80">
        <v>1829</v>
      </c>
      <c r="M40" s="79">
        <v>1779</v>
      </c>
      <c r="N40" s="79">
        <v>1750</v>
      </c>
      <c r="O40" s="79">
        <v>1750</v>
      </c>
      <c r="P40" s="79">
        <v>1725</v>
      </c>
      <c r="Q40" s="79">
        <v>1823</v>
      </c>
      <c r="R40" s="79">
        <v>1750</v>
      </c>
      <c r="S40" s="79">
        <v>1710</v>
      </c>
      <c r="T40" s="79">
        <v>1710</v>
      </c>
      <c r="U40" s="79">
        <v>1899</v>
      </c>
      <c r="V40" s="79">
        <v>1929</v>
      </c>
      <c r="W40" s="79">
        <v>1899</v>
      </c>
      <c r="X40" s="79">
        <v>1848</v>
      </c>
      <c r="Y40" s="104" t="str">
        <f>TEXT((AC40-S40)/S40,"0.0%")</f>
        <v>57.9%</v>
      </c>
      <c r="Z40" s="79">
        <v>1839</v>
      </c>
      <c r="AA40">
        <v>2099</v>
      </c>
      <c r="AB40">
        <v>2400</v>
      </c>
      <c r="AC40">
        <v>2700</v>
      </c>
    </row>
    <row r="41" spans="2:29">
      <c r="C41" s="98" t="s">
        <v>162</v>
      </c>
      <c r="M41" s="77"/>
      <c r="N41" s="77"/>
      <c r="O41" s="77"/>
      <c r="P41" s="77"/>
      <c r="Q41" s="77"/>
      <c r="R41" s="77"/>
      <c r="S41" s="77"/>
      <c r="T41" s="77"/>
      <c r="U41" s="77"/>
      <c r="V41" s="77"/>
      <c r="Z41">
        <v>1479</v>
      </c>
    </row>
    <row r="42" spans="2:29"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2:29"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spans="2:29">
      <c r="M44" s="77"/>
      <c r="N44" s="77"/>
      <c r="O44" s="77"/>
      <c r="P44" s="77"/>
      <c r="Q44" s="77"/>
      <c r="R44" s="77"/>
      <c r="S44" s="77"/>
      <c r="T44" s="77"/>
      <c r="U44" s="77"/>
      <c r="V44" s="77"/>
    </row>
    <row r="45" spans="2:29">
      <c r="M45" s="77"/>
      <c r="N45" s="77"/>
      <c r="O45" s="77"/>
      <c r="P45" s="77"/>
      <c r="Q45" s="77"/>
      <c r="R45" s="77"/>
      <c r="S45" s="77"/>
      <c r="T45" s="77"/>
      <c r="U45" s="77"/>
      <c r="V45" s="77"/>
    </row>
    <row r="46" spans="2:29"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spans="2:29">
      <c r="M47" s="77"/>
      <c r="N47" s="77"/>
      <c r="O47" s="77"/>
      <c r="P47" s="77"/>
      <c r="Q47" s="77"/>
      <c r="R47" s="77"/>
      <c r="S47" s="77"/>
      <c r="T47" s="77"/>
      <c r="U47" s="77"/>
      <c r="V47" s="77"/>
    </row>
  </sheetData>
  <mergeCells count="5">
    <mergeCell ref="B3:B12"/>
    <mergeCell ref="B13:B21"/>
    <mergeCell ref="B22:B26"/>
    <mergeCell ref="B27:B33"/>
    <mergeCell ref="B34:B39"/>
  </mergeCells>
  <pageMargins left="0.7" right="0.7" top="0.75" bottom="0.75" header="0.3" footer="0.3"/>
  <pageSetup paperSize="9" orientation="portrait"/>
  <headerFooter/>
  <ignoredErrors>
    <ignoredError sqref="Y5:AE5 Z6:AE12 B44:X47 O42:X43 B42:E43 B1:X4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6"/>
  <sheetViews>
    <sheetView zoomScale="80" zoomScaleNormal="80" workbookViewId="0">
      <selection activeCell="AA9" sqref="AA9"/>
    </sheetView>
  </sheetViews>
  <sheetFormatPr defaultColWidth="8.88888888888889" defaultRowHeight="14.4"/>
  <cols>
    <col min="1" max="1" width="13.6296296296296" customWidth="1"/>
    <col min="2" max="2" width="13.1296296296296" customWidth="1"/>
    <col min="3" max="3" width="5.83333333333333" style="77" customWidth="1"/>
    <col min="11" max="20" width="8.88888888888889" style="77"/>
  </cols>
  <sheetData>
    <row r="1" spans="1:27">
      <c r="D1">
        <v>2025</v>
      </c>
      <c r="P1" s="77">
        <v>2026</v>
      </c>
    </row>
    <row r="2" spans="1:27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 s="77">
        <v>1</v>
      </c>
      <c r="Q2" s="77">
        <v>2</v>
      </c>
      <c r="R2" s="77">
        <v>3</v>
      </c>
      <c r="S2" s="77">
        <v>4</v>
      </c>
      <c r="T2" s="77">
        <v>5</v>
      </c>
      <c r="U2">
        <v>6</v>
      </c>
      <c r="V2">
        <v>7</v>
      </c>
      <c r="W2">
        <v>8</v>
      </c>
      <c r="X2">
        <v>9</v>
      </c>
      <c r="Y2">
        <v>10</v>
      </c>
      <c r="Z2">
        <v>11</v>
      </c>
      <c r="AA2">
        <v>12</v>
      </c>
    </row>
    <row r="3" spans="1:27">
      <c r="A3" s="78" t="s">
        <v>367</v>
      </c>
      <c r="B3" s="77" t="s">
        <v>215</v>
      </c>
      <c r="D3">
        <v>4090</v>
      </c>
      <c r="E3">
        <v>4199</v>
      </c>
      <c r="F3">
        <v>4130</v>
      </c>
      <c r="G3">
        <v>4059</v>
      </c>
      <c r="H3">
        <v>4090</v>
      </c>
      <c r="I3">
        <v>4090</v>
      </c>
      <c r="J3">
        <v>4159</v>
      </c>
      <c r="K3">
        <v>4159</v>
      </c>
      <c r="L3">
        <v>3900</v>
      </c>
      <c r="M3">
        <v>3749</v>
      </c>
      <c r="N3">
        <v>3209</v>
      </c>
      <c r="O3">
        <v>3269</v>
      </c>
      <c r="P3">
        <v>3399</v>
      </c>
      <c r="Q3">
        <v>3800</v>
      </c>
      <c r="R3">
        <v>3958</v>
      </c>
      <c r="S3"/>
      <c r="T3"/>
      <c r="U3" s="77">
        <v>2710</v>
      </c>
      <c r="V3">
        <v>3000</v>
      </c>
      <c r="W3">
        <v>2950</v>
      </c>
      <c r="X3">
        <v>3145</v>
      </c>
      <c r="Y3">
        <v>3145</v>
      </c>
    </row>
    <row r="4" spans="1:27">
      <c r="A4" s="78"/>
      <c r="B4" s="72" t="s">
        <v>214</v>
      </c>
      <c r="D4" s="77"/>
      <c r="E4" s="77"/>
      <c r="F4" s="77"/>
      <c r="G4" s="77"/>
      <c r="H4" s="77"/>
      <c r="I4" s="77"/>
      <c r="J4" s="77"/>
      <c r="K4"/>
      <c r="L4"/>
      <c r="M4"/>
      <c r="N4"/>
      <c r="O4"/>
      <c r="P4"/>
      <c r="Q4"/>
      <c r="R4"/>
      <c r="S4">
        <v>2239</v>
      </c>
      <c r="T4">
        <v>2179</v>
      </c>
      <c r="U4" s="79">
        <v>2070</v>
      </c>
      <c r="V4" s="80">
        <v>1929</v>
      </c>
      <c r="W4" s="80">
        <v>2000</v>
      </c>
      <c r="X4" s="80">
        <v>1899</v>
      </c>
      <c r="Y4" s="79">
        <v>1935</v>
      </c>
    </row>
    <row r="5" spans="1:27">
      <c r="A5" s="78"/>
      <c r="B5" t="s">
        <v>222</v>
      </c>
      <c r="D5" s="80">
        <v>2595</v>
      </c>
      <c r="E5" s="80">
        <v>2699</v>
      </c>
      <c r="F5" s="80">
        <v>2096</v>
      </c>
      <c r="G5" s="80">
        <v>2069</v>
      </c>
      <c r="H5" s="80">
        <v>2080</v>
      </c>
      <c r="I5" s="80">
        <v>2080</v>
      </c>
      <c r="J5" s="80">
        <v>1990</v>
      </c>
      <c r="K5" s="80">
        <v>1990</v>
      </c>
      <c r="L5" s="80">
        <v>1890</v>
      </c>
      <c r="M5" s="80">
        <v>1829</v>
      </c>
      <c r="N5" s="80">
        <v>1709</v>
      </c>
      <c r="O5" s="80">
        <v>1600</v>
      </c>
      <c r="P5" s="80">
        <v>1661</v>
      </c>
      <c r="Q5" s="80">
        <v>1465</v>
      </c>
      <c r="R5" s="79">
        <v>1583</v>
      </c>
      <c r="S5" s="80">
        <v>1492</v>
      </c>
      <c r="T5" s="79">
        <v>1596</v>
      </c>
      <c r="U5" s="80">
        <v>1519</v>
      </c>
      <c r="V5" s="79">
        <v>1559</v>
      </c>
      <c r="W5">
        <v>1650</v>
      </c>
      <c r="X5" s="79">
        <v>1583</v>
      </c>
      <c r="Y5" s="79">
        <v>1609</v>
      </c>
    </row>
    <row r="6" spans="1:27">
      <c r="A6" s="78"/>
      <c r="B6" s="72" t="s">
        <v>229</v>
      </c>
      <c r="D6" s="77"/>
      <c r="E6" s="77"/>
      <c r="F6" s="77"/>
      <c r="G6" s="77"/>
      <c r="H6" s="77"/>
      <c r="I6" s="77"/>
      <c r="J6" s="77"/>
      <c r="K6"/>
      <c r="L6"/>
      <c r="M6"/>
      <c r="N6"/>
      <c r="O6"/>
      <c r="P6"/>
      <c r="Q6"/>
      <c r="R6"/>
      <c r="S6">
        <v>1499</v>
      </c>
      <c r="T6" s="79">
        <v>1479</v>
      </c>
      <c r="U6" s="80">
        <v>1379</v>
      </c>
      <c r="V6" s="80">
        <v>1364</v>
      </c>
      <c r="W6" s="79">
        <v>1450</v>
      </c>
      <c r="X6" s="80">
        <v>1229</v>
      </c>
      <c r="Y6" s="80">
        <v>1199</v>
      </c>
    </row>
    <row r="7" spans="1:27">
      <c r="A7" s="78"/>
      <c r="B7" t="s">
        <v>234</v>
      </c>
      <c r="D7">
        <v>1770</v>
      </c>
      <c r="E7">
        <v>1765</v>
      </c>
      <c r="F7">
        <v>1734</v>
      </c>
      <c r="G7">
        <v>1699</v>
      </c>
      <c r="H7">
        <v>1820</v>
      </c>
      <c r="I7">
        <v>1820</v>
      </c>
      <c r="J7">
        <v>1759</v>
      </c>
      <c r="K7">
        <v>1759</v>
      </c>
      <c r="L7">
        <v>1790</v>
      </c>
      <c r="M7">
        <v>1399</v>
      </c>
      <c r="N7">
        <v>1329</v>
      </c>
      <c r="O7">
        <v>1212</v>
      </c>
      <c r="P7">
        <v>1196</v>
      </c>
      <c r="Q7">
        <v>1154</v>
      </c>
      <c r="R7">
        <v>1139</v>
      </c>
      <c r="S7">
        <v>1096</v>
      </c>
      <c r="T7">
        <v>1076</v>
      </c>
      <c r="U7" s="79">
        <v>948</v>
      </c>
      <c r="V7" s="80">
        <v>889</v>
      </c>
      <c r="W7">
        <v>1000</v>
      </c>
      <c r="X7" s="79">
        <v>939</v>
      </c>
      <c r="Y7" s="79">
        <v>978</v>
      </c>
    </row>
    <row r="8" spans="1:27">
      <c r="A8" s="78"/>
      <c r="B8" s="72" t="s">
        <v>246</v>
      </c>
      <c r="D8" s="77"/>
      <c r="E8" s="77"/>
      <c r="F8" s="77"/>
      <c r="G8" s="77"/>
      <c r="H8" s="77"/>
      <c r="I8" s="77"/>
      <c r="J8" s="77"/>
      <c r="K8">
        <v>1129</v>
      </c>
      <c r="L8">
        <v>1149</v>
      </c>
      <c r="M8">
        <v>999</v>
      </c>
      <c r="N8">
        <v>949</v>
      </c>
      <c r="O8">
        <v>875</v>
      </c>
      <c r="P8">
        <v>829</v>
      </c>
      <c r="Q8"/>
      <c r="R8"/>
      <c r="S8"/>
      <c r="T8"/>
      <c r="U8" s="80">
        <v>700</v>
      </c>
      <c r="V8" s="79">
        <v>703</v>
      </c>
      <c r="W8" s="80">
        <v>660</v>
      </c>
      <c r="X8" s="80">
        <v>623</v>
      </c>
      <c r="Y8" s="80">
        <v>623</v>
      </c>
    </row>
    <row r="9" spans="1:27">
      <c r="A9" s="78"/>
      <c r="B9" s="72" t="s">
        <v>247</v>
      </c>
      <c r="D9" s="77"/>
      <c r="E9" s="77"/>
      <c r="F9" s="77"/>
      <c r="G9" s="77"/>
      <c r="H9" s="77"/>
      <c r="I9" s="77"/>
      <c r="J9" s="77"/>
      <c r="K9">
        <v>1099</v>
      </c>
      <c r="L9">
        <v>1129</v>
      </c>
      <c r="M9">
        <v>999</v>
      </c>
      <c r="N9">
        <v>899</v>
      </c>
      <c r="O9">
        <v>855</v>
      </c>
      <c r="P9">
        <v>819</v>
      </c>
      <c r="Q9"/>
      <c r="R9"/>
      <c r="S9"/>
      <c r="T9"/>
      <c r="U9">
        <v>700</v>
      </c>
      <c r="V9">
        <v>710</v>
      </c>
      <c r="W9">
        <v>720</v>
      </c>
      <c r="X9" s="79">
        <v>617</v>
      </c>
      <c r="Y9" s="79">
        <v>617</v>
      </c>
    </row>
    <row r="10" hidden="1" spans="1:27">
      <c r="A10" s="78"/>
      <c r="B10" s="72" t="s">
        <v>368</v>
      </c>
      <c r="F10" s="77"/>
      <c r="G10" s="77"/>
      <c r="H10" s="77"/>
      <c r="I10" s="77"/>
      <c r="J10" s="77"/>
      <c r="K10"/>
      <c r="L10"/>
      <c r="M10"/>
      <c r="N10"/>
      <c r="O10"/>
      <c r="P10"/>
      <c r="Q10"/>
      <c r="R10"/>
      <c r="S10"/>
      <c r="T10"/>
      <c r="U10" s="77"/>
      <c r="V10" s="77"/>
      <c r="W10" s="77"/>
      <c r="X10" s="77"/>
      <c r="Y10" s="77"/>
      <c r="Z10" s="77"/>
      <c r="AA10" s="77"/>
    </row>
    <row r="11" spans="1:27">
      <c r="A11" s="81" t="s">
        <v>369</v>
      </c>
      <c r="B11" s="82" t="s">
        <v>221</v>
      </c>
      <c r="C11" s="77" t="s">
        <v>370</v>
      </c>
      <c r="D11">
        <v>3850</v>
      </c>
      <c r="E11">
        <v>4359</v>
      </c>
      <c r="F11" s="77"/>
      <c r="G11" s="77"/>
      <c r="H11" s="77"/>
      <c r="I11" s="77"/>
      <c r="J11" s="77"/>
      <c r="K11"/>
      <c r="L11"/>
      <c r="M11"/>
      <c r="N11"/>
      <c r="O11"/>
      <c r="P11"/>
      <c r="Q11"/>
      <c r="R11"/>
      <c r="S11"/>
      <c r="T11"/>
      <c r="U11" s="77"/>
      <c r="V11" s="77"/>
      <c r="W11" s="77"/>
      <c r="X11" s="77"/>
      <c r="Z11" s="77"/>
      <c r="AA11" s="77"/>
    </row>
    <row r="12" spans="1:27">
      <c r="A12" s="83"/>
      <c r="B12" t="s">
        <v>223</v>
      </c>
      <c r="C12" s="77" t="s">
        <v>370</v>
      </c>
      <c r="D12" s="79">
        <v>2749</v>
      </c>
      <c r="E12" s="79">
        <v>2738</v>
      </c>
      <c r="F12">
        <v>2727</v>
      </c>
      <c r="G12">
        <v>2789</v>
      </c>
      <c r="H12" s="79">
        <v>2799</v>
      </c>
      <c r="I12" s="79">
        <v>2799</v>
      </c>
      <c r="J12" s="79">
        <v>2750</v>
      </c>
      <c r="K12">
        <v>2832</v>
      </c>
      <c r="L12">
        <v>2900</v>
      </c>
      <c r="M12">
        <v>2849</v>
      </c>
      <c r="N12">
        <v>2709</v>
      </c>
      <c r="O12">
        <v>2769</v>
      </c>
      <c r="P12">
        <v>2799</v>
      </c>
      <c r="Q12" s="79">
        <v>2500</v>
      </c>
      <c r="R12">
        <v>2490</v>
      </c>
      <c r="S12">
        <v>2600</v>
      </c>
      <c r="T12">
        <v>2825</v>
      </c>
      <c r="U12" s="79">
        <v>2490</v>
      </c>
      <c r="X12" s="79">
        <v>2470</v>
      </c>
      <c r="Y12" s="79">
        <v>2430</v>
      </c>
    </row>
    <row r="13" spans="1:27">
      <c r="A13" s="83"/>
      <c r="B13" t="s">
        <v>228</v>
      </c>
      <c r="C13" s="77" t="s">
        <v>370</v>
      </c>
      <c r="D13" s="80">
        <v>2105</v>
      </c>
      <c r="E13" s="80">
        <v>2078</v>
      </c>
      <c r="F13" s="79">
        <v>2019</v>
      </c>
      <c r="G13">
        <v>2044</v>
      </c>
      <c r="H13">
        <v>2034</v>
      </c>
      <c r="I13">
        <v>2034</v>
      </c>
      <c r="J13">
        <v>2040</v>
      </c>
      <c r="K13">
        <v>2039</v>
      </c>
      <c r="L13">
        <v>2099</v>
      </c>
      <c r="M13">
        <v>2099</v>
      </c>
      <c r="N13">
        <v>2129</v>
      </c>
      <c r="O13">
        <v>2055</v>
      </c>
      <c r="P13">
        <v>2048</v>
      </c>
      <c r="Q13" s="79">
        <v>1940</v>
      </c>
      <c r="R13">
        <v>1937</v>
      </c>
      <c r="S13">
        <v>2050</v>
      </c>
      <c r="T13">
        <v>2110</v>
      </c>
      <c r="U13" s="79">
        <v>1990</v>
      </c>
      <c r="X13">
        <v>2175</v>
      </c>
      <c r="Y13">
        <v>2100</v>
      </c>
    </row>
    <row r="14" spans="1:27">
      <c r="A14" s="83"/>
      <c r="B14" s="82" t="s">
        <v>240</v>
      </c>
      <c r="C14" s="77" t="s">
        <v>370</v>
      </c>
      <c r="D14" s="80">
        <v>1152</v>
      </c>
      <c r="E14" s="80">
        <v>1135</v>
      </c>
      <c r="F14" s="80">
        <v>1129</v>
      </c>
      <c r="G14" s="80">
        <v>1164</v>
      </c>
      <c r="H14" s="80">
        <v>1154</v>
      </c>
      <c r="I14" s="80">
        <v>1154</v>
      </c>
      <c r="J14" s="80">
        <v>1168</v>
      </c>
      <c r="K14" s="79">
        <v>1208</v>
      </c>
      <c r="L14">
        <v>1295</v>
      </c>
      <c r="M14">
        <v>1289</v>
      </c>
      <c r="N14">
        <v>1259</v>
      </c>
      <c r="O14">
        <v>1232</v>
      </c>
      <c r="P14">
        <v>1419</v>
      </c>
      <c r="Q14">
        <v>1329</v>
      </c>
      <c r="R14">
        <v>1420</v>
      </c>
      <c r="S14">
        <v>1418</v>
      </c>
      <c r="T14">
        <v>1555</v>
      </c>
      <c r="U14">
        <v>1379</v>
      </c>
      <c r="V14">
        <v>1520</v>
      </c>
      <c r="W14">
        <v>1649</v>
      </c>
      <c r="X14">
        <v>1355</v>
      </c>
      <c r="Y14">
        <v>1299</v>
      </c>
    </row>
    <row r="15" spans="1:27">
      <c r="A15" s="83"/>
      <c r="B15" s="82" t="s">
        <v>253</v>
      </c>
      <c r="D15">
        <v>1223</v>
      </c>
      <c r="E15">
        <v>1223</v>
      </c>
      <c r="F15">
        <v>1035</v>
      </c>
      <c r="G15">
        <v>1009</v>
      </c>
      <c r="H15">
        <v>954</v>
      </c>
      <c r="I15">
        <v>954</v>
      </c>
      <c r="J15">
        <v>908</v>
      </c>
      <c r="K15">
        <v>1023</v>
      </c>
      <c r="L15">
        <v>965</v>
      </c>
      <c r="M15">
        <v>1010</v>
      </c>
      <c r="N15">
        <v>1150</v>
      </c>
      <c r="O15">
        <v>1026</v>
      </c>
      <c r="P15">
        <v>1029</v>
      </c>
      <c r="Q15"/>
      <c r="R15"/>
      <c r="S15"/>
      <c r="T15"/>
      <c r="U15">
        <v>1180</v>
      </c>
    </row>
    <row r="16" spans="1:27">
      <c r="A16" s="83"/>
      <c r="B16" s="82" t="s">
        <v>258</v>
      </c>
      <c r="D16">
        <v>789</v>
      </c>
      <c r="E16">
        <v>769</v>
      </c>
      <c r="F16">
        <v>770</v>
      </c>
      <c r="G16">
        <v>764</v>
      </c>
      <c r="H16">
        <v>749</v>
      </c>
      <c r="I16">
        <v>749</v>
      </c>
      <c r="J16">
        <v>746</v>
      </c>
      <c r="K16">
        <v>785</v>
      </c>
      <c r="L16">
        <v>945</v>
      </c>
      <c r="M16">
        <v>1029</v>
      </c>
      <c r="N16">
        <v>1099</v>
      </c>
      <c r="O16">
        <v>1045</v>
      </c>
      <c r="P16">
        <v>999</v>
      </c>
      <c r="Q16"/>
      <c r="R16"/>
      <c r="S16"/>
      <c r="T16"/>
      <c r="U16">
        <v>860</v>
      </c>
      <c r="V16">
        <v>920</v>
      </c>
      <c r="W16">
        <v>895</v>
      </c>
    </row>
    <row r="17" spans="1:27">
      <c r="A17" s="83"/>
      <c r="B17" s="82" t="s">
        <v>269</v>
      </c>
      <c r="D17">
        <v>500</v>
      </c>
      <c r="E17">
        <v>590</v>
      </c>
      <c r="F17">
        <v>570</v>
      </c>
      <c r="G17">
        <v>569</v>
      </c>
      <c r="H17">
        <v>589</v>
      </c>
      <c r="I17">
        <v>589</v>
      </c>
      <c r="J17">
        <v>560</v>
      </c>
      <c r="K17">
        <v>668</v>
      </c>
      <c r="L17">
        <v>585</v>
      </c>
      <c r="M17">
        <v>585</v>
      </c>
      <c r="N17">
        <v>659</v>
      </c>
      <c r="O17">
        <v>555</v>
      </c>
      <c r="P17">
        <v>570</v>
      </c>
      <c r="Q17"/>
      <c r="R17"/>
      <c r="S17"/>
      <c r="T17"/>
      <c r="U17">
        <v>668</v>
      </c>
      <c r="V17">
        <v>773</v>
      </c>
      <c r="W17">
        <v>719</v>
      </c>
      <c r="Y17" s="77"/>
    </row>
    <row r="18" spans="1:27">
      <c r="A18" s="84" t="s">
        <v>371</v>
      </c>
      <c r="B18" s="82" t="s">
        <v>219</v>
      </c>
      <c r="C18" s="77" t="s">
        <v>370</v>
      </c>
      <c r="D18">
        <v>3599</v>
      </c>
      <c r="E18">
        <v>3050</v>
      </c>
      <c r="F18" s="77"/>
      <c r="G18" s="77"/>
      <c r="H18" s="77"/>
      <c r="I18" s="77"/>
      <c r="J18" s="77"/>
      <c r="K18"/>
      <c r="L18"/>
      <c r="M18"/>
      <c r="N18"/>
      <c r="O18"/>
      <c r="P18"/>
      <c r="Q18"/>
      <c r="R18"/>
      <c r="S18"/>
      <c r="T18"/>
      <c r="U18" s="77"/>
      <c r="V18" s="77"/>
      <c r="W18" s="77"/>
      <c r="X18" s="77"/>
      <c r="Z18" s="77"/>
      <c r="AA18" s="77"/>
    </row>
    <row r="19" spans="1:27">
      <c r="A19" s="85"/>
      <c r="B19" t="s">
        <v>224</v>
      </c>
      <c r="C19" s="77" t="s">
        <v>370</v>
      </c>
      <c r="D19">
        <v>2895</v>
      </c>
      <c r="E19">
        <v>2855</v>
      </c>
      <c r="F19" s="79">
        <v>2599</v>
      </c>
      <c r="G19" s="79">
        <v>2765</v>
      </c>
      <c r="H19">
        <v>2829</v>
      </c>
      <c r="I19">
        <v>2829</v>
      </c>
      <c r="J19">
        <v>2799</v>
      </c>
      <c r="K19">
        <v>2559</v>
      </c>
      <c r="L19">
        <v>2499</v>
      </c>
      <c r="M19">
        <v>2499</v>
      </c>
      <c r="N19">
        <v>2799</v>
      </c>
      <c r="O19">
        <v>2880</v>
      </c>
      <c r="P19" s="79">
        <v>2249</v>
      </c>
      <c r="Q19" s="79"/>
      <c r="R19" s="79"/>
      <c r="S19" s="79"/>
      <c r="T19" s="79"/>
      <c r="U19" s="79">
        <v>2040</v>
      </c>
      <c r="V19" s="79"/>
      <c r="W19" s="79"/>
      <c r="X19" s="79"/>
      <c r="Y19" s="80">
        <v>1816</v>
      </c>
    </row>
    <row r="20" spans="1:27">
      <c r="A20" s="85"/>
      <c r="B20" t="s">
        <v>232</v>
      </c>
      <c r="C20" s="77" t="s">
        <v>370</v>
      </c>
      <c r="D20">
        <v>1966</v>
      </c>
      <c r="E20" s="80">
        <v>1898</v>
      </c>
      <c r="F20">
        <v>2139</v>
      </c>
      <c r="G20">
        <v>1990</v>
      </c>
      <c r="H20">
        <v>2199</v>
      </c>
      <c r="I20">
        <v>2199</v>
      </c>
      <c r="J20">
        <v>2020</v>
      </c>
      <c r="K20">
        <v>1999</v>
      </c>
      <c r="L20">
        <v>2049</v>
      </c>
      <c r="M20">
        <v>2099</v>
      </c>
      <c r="N20">
        <v>2099</v>
      </c>
      <c r="O20">
        <v>1979</v>
      </c>
      <c r="P20" s="79">
        <v>1899</v>
      </c>
      <c r="Q20" s="79"/>
      <c r="R20" s="79"/>
      <c r="S20" s="79"/>
      <c r="T20" s="79"/>
      <c r="U20" s="79">
        <v>1710</v>
      </c>
      <c r="Y20">
        <v>1856</v>
      </c>
    </row>
    <row r="21" spans="1:27">
      <c r="A21" s="85"/>
      <c r="B21" s="82" t="s">
        <v>241</v>
      </c>
      <c r="C21" s="77" t="s">
        <v>370</v>
      </c>
      <c r="D21">
        <v>1207</v>
      </c>
      <c r="E21">
        <v>1228</v>
      </c>
      <c r="F21">
        <v>1199</v>
      </c>
      <c r="G21">
        <v>1199</v>
      </c>
      <c r="H21">
        <v>1164</v>
      </c>
      <c r="I21">
        <v>1164</v>
      </c>
      <c r="J21">
        <v>1170</v>
      </c>
      <c r="K21">
        <v>1294</v>
      </c>
      <c r="L21">
        <v>1299</v>
      </c>
      <c r="M21">
        <v>1260</v>
      </c>
      <c r="N21">
        <v>1250</v>
      </c>
      <c r="O21">
        <v>1189</v>
      </c>
      <c r="P21">
        <v>1140</v>
      </c>
      <c r="Q21"/>
      <c r="R21"/>
      <c r="S21"/>
      <c r="T21"/>
      <c r="U21">
        <v>1280</v>
      </c>
      <c r="V21">
        <v>1368</v>
      </c>
      <c r="W21">
        <v>1589</v>
      </c>
    </row>
    <row r="22" spans="1:27">
      <c r="A22" s="85"/>
      <c r="B22" s="82" t="s">
        <v>254</v>
      </c>
      <c r="D22">
        <v>830</v>
      </c>
      <c r="E22">
        <v>803</v>
      </c>
      <c r="F22" s="80">
        <v>770</v>
      </c>
      <c r="G22" s="80">
        <v>714</v>
      </c>
      <c r="H22" s="79">
        <v>739</v>
      </c>
      <c r="I22" s="79">
        <v>739</v>
      </c>
      <c r="J22">
        <v>810</v>
      </c>
      <c r="K22">
        <v>810</v>
      </c>
      <c r="L22">
        <v>909</v>
      </c>
      <c r="M22">
        <v>979</v>
      </c>
      <c r="N22">
        <v>1099</v>
      </c>
      <c r="O22">
        <v>987</v>
      </c>
      <c r="P22">
        <v>988</v>
      </c>
      <c r="Q22"/>
      <c r="R22"/>
      <c r="S22"/>
      <c r="T22"/>
      <c r="U22">
        <v>1040</v>
      </c>
    </row>
    <row r="23" spans="1:27">
      <c r="A23" s="85"/>
      <c r="B23" s="82" t="s">
        <v>259</v>
      </c>
      <c r="D23" s="80">
        <v>712</v>
      </c>
      <c r="E23" s="80">
        <v>705</v>
      </c>
      <c r="F23" s="80">
        <v>729</v>
      </c>
      <c r="G23" s="80">
        <v>704</v>
      </c>
      <c r="H23" s="80">
        <v>665</v>
      </c>
      <c r="I23" s="80">
        <v>665</v>
      </c>
      <c r="J23" s="80">
        <v>695</v>
      </c>
      <c r="K23" s="80">
        <v>719</v>
      </c>
      <c r="L23">
        <v>839</v>
      </c>
      <c r="M23">
        <v>979</v>
      </c>
      <c r="N23">
        <v>1069</v>
      </c>
      <c r="O23">
        <v>963</v>
      </c>
      <c r="P23">
        <v>925</v>
      </c>
      <c r="Q23"/>
      <c r="R23"/>
      <c r="S23"/>
      <c r="T23"/>
      <c r="U23">
        <v>883</v>
      </c>
      <c r="V23">
        <v>949</v>
      </c>
      <c r="W23">
        <v>860</v>
      </c>
    </row>
    <row r="24" spans="1:27">
      <c r="A24" s="85"/>
      <c r="B24" s="82" t="s">
        <v>270</v>
      </c>
      <c r="D24">
        <v>475</v>
      </c>
      <c r="E24">
        <v>568</v>
      </c>
      <c r="F24">
        <v>603</v>
      </c>
      <c r="G24">
        <v>439</v>
      </c>
      <c r="H24" s="80">
        <v>312</v>
      </c>
      <c r="I24" s="80">
        <v>312</v>
      </c>
      <c r="J24" s="80">
        <v>319</v>
      </c>
      <c r="K24" s="79">
        <v>329</v>
      </c>
      <c r="L24">
        <v>399</v>
      </c>
      <c r="M24">
        <v>439</v>
      </c>
      <c r="N24">
        <v>596</v>
      </c>
      <c r="O24">
        <v>520</v>
      </c>
      <c r="P24">
        <v>519</v>
      </c>
      <c r="Q24"/>
      <c r="R24"/>
      <c r="S24"/>
      <c r="T24"/>
      <c r="U24">
        <v>653</v>
      </c>
      <c r="V24">
        <v>720</v>
      </c>
      <c r="W24">
        <v>698</v>
      </c>
    </row>
    <row r="25" spans="1:27">
      <c r="A25" s="86" t="s">
        <v>372</v>
      </c>
      <c r="B25" s="82" t="s">
        <v>236</v>
      </c>
      <c r="D25">
        <v>2098</v>
      </c>
      <c r="E25">
        <v>2260</v>
      </c>
      <c r="F25">
        <v>2170</v>
      </c>
      <c r="G25">
        <v>2038</v>
      </c>
      <c r="H25">
        <v>1919</v>
      </c>
      <c r="I25">
        <v>1919</v>
      </c>
      <c r="J25">
        <v>1869</v>
      </c>
      <c r="K25">
        <v>1870</v>
      </c>
      <c r="L25">
        <v>1891</v>
      </c>
      <c r="M25">
        <v>1950</v>
      </c>
      <c r="N25">
        <v>2150</v>
      </c>
      <c r="O25">
        <v>1985</v>
      </c>
      <c r="P25">
        <v>1879</v>
      </c>
      <c r="Q25"/>
      <c r="R25"/>
      <c r="S25"/>
      <c r="T25"/>
      <c r="U25">
        <v>2065</v>
      </c>
    </row>
    <row r="26" spans="1:27">
      <c r="A26" s="87"/>
      <c r="B26" s="82" t="s">
        <v>245</v>
      </c>
      <c r="D26">
        <v>1312</v>
      </c>
      <c r="E26">
        <v>1373</v>
      </c>
      <c r="F26">
        <v>1388</v>
      </c>
      <c r="G26">
        <v>1338</v>
      </c>
      <c r="H26">
        <v>1259</v>
      </c>
      <c r="I26">
        <v>1259</v>
      </c>
      <c r="J26">
        <v>1190</v>
      </c>
      <c r="K26">
        <v>1199</v>
      </c>
      <c r="L26">
        <v>1225</v>
      </c>
      <c r="M26">
        <v>1270</v>
      </c>
      <c r="N26">
        <v>1490</v>
      </c>
      <c r="O26">
        <v>1420</v>
      </c>
      <c r="P26">
        <v>1525</v>
      </c>
      <c r="Q26"/>
      <c r="R26"/>
      <c r="S26"/>
      <c r="T26"/>
      <c r="U26">
        <v>1580</v>
      </c>
    </row>
    <row r="27" spans="1:27">
      <c r="A27" s="87"/>
      <c r="B27" s="82" t="s">
        <v>252</v>
      </c>
      <c r="D27">
        <v>904</v>
      </c>
      <c r="E27">
        <v>938</v>
      </c>
      <c r="F27">
        <v>938</v>
      </c>
      <c r="G27">
        <v>933</v>
      </c>
      <c r="H27">
        <v>934</v>
      </c>
      <c r="I27">
        <v>934</v>
      </c>
      <c r="J27">
        <v>964</v>
      </c>
      <c r="K27">
        <v>968</v>
      </c>
      <c r="L27">
        <v>980</v>
      </c>
      <c r="M27">
        <v>1000</v>
      </c>
      <c r="N27">
        <v>1045</v>
      </c>
      <c r="O27">
        <v>989</v>
      </c>
      <c r="P27">
        <v>1050</v>
      </c>
      <c r="Q27"/>
      <c r="R27"/>
      <c r="S27"/>
      <c r="T27"/>
      <c r="U27">
        <v>995</v>
      </c>
      <c r="V27">
        <v>1020</v>
      </c>
      <c r="W27">
        <v>965</v>
      </c>
    </row>
    <row r="28" spans="1:27">
      <c r="A28" s="87"/>
      <c r="B28" s="82" t="s">
        <v>265</v>
      </c>
      <c r="D28" s="80">
        <v>609</v>
      </c>
      <c r="E28" s="79">
        <v>639</v>
      </c>
      <c r="F28">
        <v>669</v>
      </c>
      <c r="G28">
        <v>663</v>
      </c>
      <c r="H28">
        <v>699</v>
      </c>
      <c r="I28">
        <v>699</v>
      </c>
      <c r="J28">
        <v>659</v>
      </c>
      <c r="K28">
        <v>664</v>
      </c>
      <c r="L28">
        <v>735</v>
      </c>
      <c r="M28">
        <v>750</v>
      </c>
      <c r="N28">
        <v>879</v>
      </c>
      <c r="O28">
        <v>859</v>
      </c>
      <c r="P28">
        <v>839</v>
      </c>
      <c r="Q28"/>
      <c r="R28"/>
      <c r="S28"/>
      <c r="T28"/>
      <c r="U28">
        <v>750</v>
      </c>
    </row>
    <row r="29" spans="1:27">
      <c r="A29" s="87"/>
      <c r="B29" s="82" t="s">
        <v>268</v>
      </c>
      <c r="D29">
        <v>605</v>
      </c>
      <c r="E29">
        <v>636</v>
      </c>
      <c r="F29">
        <v>639</v>
      </c>
      <c r="G29">
        <v>622</v>
      </c>
      <c r="H29">
        <v>619</v>
      </c>
      <c r="I29">
        <v>619</v>
      </c>
      <c r="J29">
        <v>639</v>
      </c>
      <c r="K29">
        <v>643</v>
      </c>
      <c r="L29">
        <v>710</v>
      </c>
      <c r="M29">
        <v>715</v>
      </c>
      <c r="N29">
        <v>909</v>
      </c>
      <c r="O29">
        <v>809</v>
      </c>
      <c r="P29">
        <v>809</v>
      </c>
      <c r="Q29"/>
      <c r="R29"/>
      <c r="S29"/>
      <c r="T29"/>
      <c r="U29">
        <v>760</v>
      </c>
      <c r="V29">
        <v>849</v>
      </c>
      <c r="W29">
        <v>799</v>
      </c>
    </row>
    <row r="30" spans="1:27">
      <c r="A30" s="87"/>
      <c r="B30" s="82" t="s">
        <v>271</v>
      </c>
      <c r="D30" s="80">
        <v>311</v>
      </c>
      <c r="E30" s="80">
        <v>315</v>
      </c>
      <c r="F30" s="80">
        <v>339</v>
      </c>
      <c r="G30" s="80">
        <v>310</v>
      </c>
      <c r="H30" s="80">
        <v>304</v>
      </c>
      <c r="I30" s="80">
        <v>304</v>
      </c>
      <c r="J30" s="80">
        <v>304</v>
      </c>
      <c r="K30" s="79">
        <v>318</v>
      </c>
      <c r="L30">
        <v>390</v>
      </c>
      <c r="M30">
        <v>395</v>
      </c>
      <c r="N30">
        <v>590</v>
      </c>
      <c r="O30">
        <v>490</v>
      </c>
      <c r="P30">
        <v>500</v>
      </c>
      <c r="Q30"/>
      <c r="R30"/>
      <c r="S30"/>
      <c r="T30"/>
      <c r="U30">
        <v>592</v>
      </c>
      <c r="V30">
        <v>695</v>
      </c>
      <c r="W30">
        <v>684</v>
      </c>
    </row>
    <row r="31" customHeight="1" spans="1:27">
      <c r="A31" s="88" t="s">
        <v>373</v>
      </c>
      <c r="B31" s="72" t="s">
        <v>211</v>
      </c>
      <c r="D31" s="77"/>
      <c r="E31" s="77"/>
      <c r="F31" s="77"/>
      <c r="G31" s="77"/>
      <c r="H31" s="77"/>
      <c r="I31" s="77"/>
      <c r="J31" s="77"/>
      <c r="K31"/>
      <c r="L31"/>
      <c r="M31"/>
      <c r="N31"/>
      <c r="O31"/>
      <c r="P31"/>
      <c r="Q31"/>
      <c r="R31"/>
      <c r="S31"/>
      <c r="T31"/>
      <c r="U31">
        <v>5526</v>
      </c>
      <c r="V31">
        <v>5767</v>
      </c>
      <c r="W31">
        <v>5369</v>
      </c>
      <c r="X31">
        <v>5998</v>
      </c>
      <c r="Y31">
        <v>5736</v>
      </c>
    </row>
    <row r="32" customHeight="1" spans="1:27">
      <c r="A32" s="88"/>
      <c r="B32" t="s">
        <v>213</v>
      </c>
      <c r="D32" s="77"/>
      <c r="E32" s="77"/>
      <c r="F32" s="89">
        <v>5499</v>
      </c>
      <c r="G32" s="89">
        <v>4789</v>
      </c>
      <c r="H32" s="89">
        <v>4649</v>
      </c>
      <c r="I32" s="89">
        <v>4649</v>
      </c>
      <c r="J32" s="89">
        <v>4679</v>
      </c>
      <c r="K32" s="90">
        <v>4859</v>
      </c>
      <c r="L32" s="89">
        <v>4619</v>
      </c>
      <c r="M32" s="89">
        <v>4609</v>
      </c>
      <c r="N32" s="89">
        <v>4509</v>
      </c>
      <c r="O32" s="89">
        <v>4499</v>
      </c>
      <c r="P32" s="89">
        <v>4450</v>
      </c>
      <c r="Q32" s="89">
        <v>4428</v>
      </c>
      <c r="R32" s="89">
        <v>4349</v>
      </c>
      <c r="S32" s="89">
        <v>3949</v>
      </c>
      <c r="T32" s="89">
        <v>3889</v>
      </c>
      <c r="U32" s="89">
        <v>3799</v>
      </c>
      <c r="V32" s="91">
        <v>3888</v>
      </c>
      <c r="W32" s="77">
        <v>4127</v>
      </c>
      <c r="X32" s="90">
        <v>3889</v>
      </c>
      <c r="Y32" s="90">
        <v>3889</v>
      </c>
    </row>
    <row r="33" spans="1:25">
      <c r="A33" s="88"/>
      <c r="B33" t="s">
        <v>216</v>
      </c>
      <c r="D33" s="89">
        <v>3888</v>
      </c>
      <c r="E33" s="89">
        <v>3899</v>
      </c>
      <c r="F33" s="89">
        <v>3798</v>
      </c>
      <c r="G33" s="89">
        <v>3765</v>
      </c>
      <c r="H33" s="89">
        <v>3629</v>
      </c>
      <c r="I33" s="89">
        <v>3629</v>
      </c>
      <c r="J33" s="89">
        <v>3529</v>
      </c>
      <c r="K33" s="89">
        <v>3298</v>
      </c>
      <c r="L33" s="89">
        <v>3239</v>
      </c>
      <c r="M33" s="90">
        <v>3389</v>
      </c>
      <c r="N33" s="89">
        <v>3159</v>
      </c>
      <c r="O33" s="90">
        <v>3214</v>
      </c>
      <c r="P33" s="89">
        <v>3149</v>
      </c>
      <c r="Q33" s="89">
        <v>2889</v>
      </c>
      <c r="R33" s="89">
        <v>2899</v>
      </c>
      <c r="S33" s="89">
        <v>2701</v>
      </c>
      <c r="T33" s="90">
        <v>2799</v>
      </c>
      <c r="U33" s="77">
        <v>2802</v>
      </c>
      <c r="V33" s="90">
        <v>2766</v>
      </c>
      <c r="W33" s="77">
        <v>2826</v>
      </c>
      <c r="X33" s="90">
        <v>2778</v>
      </c>
      <c r="Y33" s="90">
        <v>2730</v>
      </c>
    </row>
    <row r="34" spans="1:25">
      <c r="A34" s="88"/>
      <c r="B34" t="s">
        <v>226</v>
      </c>
      <c r="D34" s="77"/>
      <c r="E34" s="77"/>
      <c r="F34">
        <v>4499</v>
      </c>
      <c r="G34">
        <v>3899</v>
      </c>
      <c r="H34" s="89">
        <v>3349</v>
      </c>
      <c r="I34" s="89">
        <v>3349</v>
      </c>
      <c r="J34">
        <v>3849</v>
      </c>
      <c r="K34">
        <v>3899</v>
      </c>
      <c r="L34">
        <v>3849</v>
      </c>
      <c r="M34">
        <v>3849</v>
      </c>
      <c r="N34" s="90">
        <v>3474</v>
      </c>
      <c r="O34" s="89">
        <v>3399</v>
      </c>
      <c r="P34" s="89">
        <v>3299</v>
      </c>
      <c r="Q34" s="89"/>
      <c r="R34" s="89"/>
      <c r="S34" s="89"/>
      <c r="T34" s="89"/>
      <c r="U34" s="89">
        <v>3280</v>
      </c>
      <c r="Y34" s="77">
        <v>3549</v>
      </c>
    </row>
    <row r="35" spans="1:25">
      <c r="A35" s="88"/>
      <c r="B35" t="s">
        <v>227</v>
      </c>
      <c r="D35" s="89">
        <v>2688</v>
      </c>
      <c r="E35" s="89">
        <v>2710</v>
      </c>
      <c r="F35" s="89">
        <v>2699</v>
      </c>
      <c r="G35" s="89">
        <v>2679</v>
      </c>
      <c r="H35" s="89">
        <v>2569</v>
      </c>
      <c r="I35" s="89">
        <v>2569</v>
      </c>
      <c r="J35" s="89">
        <v>2529</v>
      </c>
      <c r="K35" s="90">
        <v>2689</v>
      </c>
      <c r="L35" s="89">
        <v>2529</v>
      </c>
      <c r="M35" s="90">
        <v>2559</v>
      </c>
      <c r="N35" s="89">
        <v>2529</v>
      </c>
      <c r="O35" s="89">
        <v>2529</v>
      </c>
      <c r="P35" s="89">
        <v>2509</v>
      </c>
      <c r="Q35" s="89">
        <v>2369</v>
      </c>
      <c r="R35" s="90">
        <v>2399</v>
      </c>
      <c r="S35" s="89">
        <v>2289</v>
      </c>
      <c r="T35" s="89">
        <v>2289</v>
      </c>
      <c r="U35" s="89">
        <v>2049</v>
      </c>
      <c r="X35" s="90">
        <v>2179</v>
      </c>
      <c r="Y35" s="90">
        <v>2179</v>
      </c>
    </row>
    <row r="36" spans="1:25">
      <c r="A36" s="88"/>
      <c r="B36" s="72" t="s">
        <v>235</v>
      </c>
      <c r="D36" s="77"/>
      <c r="E36" s="77"/>
      <c r="F36" s="77"/>
      <c r="G36" s="77"/>
      <c r="H36" s="77"/>
      <c r="I36" s="77"/>
      <c r="J36" s="77"/>
      <c r="K36"/>
      <c r="L36"/>
      <c r="M36"/>
      <c r="N36"/>
      <c r="O36"/>
      <c r="P36"/>
      <c r="Q36">
        <v>3299</v>
      </c>
      <c r="R36">
        <v>3444</v>
      </c>
      <c r="S36">
        <v>3039</v>
      </c>
      <c r="T36" s="90">
        <v>2999</v>
      </c>
      <c r="U36" s="90">
        <v>2999</v>
      </c>
      <c r="V36" s="90">
        <v>2848</v>
      </c>
      <c r="W36" s="89">
        <v>2709</v>
      </c>
      <c r="X36" s="89">
        <v>2646</v>
      </c>
      <c r="Y36" s="90">
        <v>2740</v>
      </c>
    </row>
    <row r="37" spans="1:25">
      <c r="A37" s="88"/>
      <c r="B37" t="s">
        <v>238</v>
      </c>
      <c r="D37">
        <v>4398</v>
      </c>
      <c r="E37" s="89">
        <v>4098</v>
      </c>
      <c r="F37" s="89">
        <v>3689</v>
      </c>
      <c r="G37" s="89">
        <v>3599</v>
      </c>
      <c r="H37" s="89">
        <v>3309</v>
      </c>
      <c r="I37" s="89">
        <v>3309</v>
      </c>
      <c r="J37" s="89">
        <v>3139</v>
      </c>
      <c r="K37" s="89">
        <v>3089</v>
      </c>
      <c r="L37" s="89">
        <v>3089</v>
      </c>
      <c r="M37" s="89">
        <v>2980</v>
      </c>
      <c r="N37" s="89">
        <v>2929</v>
      </c>
      <c r="O37" s="90">
        <v>2988</v>
      </c>
      <c r="P37" s="89">
        <v>2899</v>
      </c>
      <c r="Q37" s="89">
        <v>2694</v>
      </c>
      <c r="R37" s="89">
        <v>2644</v>
      </c>
      <c r="S37" s="90">
        <v>2779</v>
      </c>
      <c r="T37" s="90">
        <v>2669</v>
      </c>
      <c r="U37" s="89">
        <v>2589</v>
      </c>
      <c r="V37" s="89">
        <v>2509</v>
      </c>
      <c r="W37" s="89">
        <v>2449</v>
      </c>
      <c r="X37" s="89">
        <v>2389</v>
      </c>
      <c r="Y37" s="90">
        <v>2439</v>
      </c>
    </row>
    <row r="38" spans="1:25">
      <c r="A38" s="88"/>
      <c r="B38" t="s">
        <v>242</v>
      </c>
      <c r="D38" s="89">
        <v>1789</v>
      </c>
      <c r="E38" s="89">
        <v>1889</v>
      </c>
      <c r="F38" s="89">
        <v>1788</v>
      </c>
      <c r="G38" s="89">
        <v>1789</v>
      </c>
      <c r="H38" s="89">
        <v>1839</v>
      </c>
      <c r="I38" s="89">
        <v>1839</v>
      </c>
      <c r="J38" s="89">
        <v>1719</v>
      </c>
      <c r="K38" s="90">
        <v>1743</v>
      </c>
      <c r="L38" s="90">
        <v>1749</v>
      </c>
      <c r="M38" s="89">
        <v>1679</v>
      </c>
      <c r="N38" s="90">
        <v>1699</v>
      </c>
      <c r="O38" s="90">
        <v>1699</v>
      </c>
      <c r="P38" s="89">
        <v>1679</v>
      </c>
      <c r="Q38" s="89">
        <v>1451</v>
      </c>
      <c r="R38" s="90">
        <v>1494</v>
      </c>
      <c r="S38" s="89">
        <v>1449</v>
      </c>
      <c r="T38" s="89">
        <v>1394</v>
      </c>
      <c r="U38" s="89">
        <v>1369</v>
      </c>
      <c r="V38" s="89">
        <v>1358</v>
      </c>
      <c r="W38" s="89">
        <v>1379</v>
      </c>
      <c r="X38" s="89">
        <v>1338</v>
      </c>
      <c r="Y38" s="90">
        <v>1340</v>
      </c>
    </row>
    <row r="39" spans="1:25">
      <c r="A39" s="88"/>
      <c r="B39" t="s">
        <v>248</v>
      </c>
      <c r="D39" s="89">
        <v>1258</v>
      </c>
      <c r="E39" s="89">
        <v>1309</v>
      </c>
      <c r="F39" s="89">
        <v>1249</v>
      </c>
      <c r="G39" s="89">
        <v>1133</v>
      </c>
      <c r="H39" s="89">
        <v>1299</v>
      </c>
      <c r="I39" s="89">
        <v>1299</v>
      </c>
      <c r="J39" s="89">
        <v>1280</v>
      </c>
      <c r="K39" s="90">
        <v>1294</v>
      </c>
      <c r="L39" s="89">
        <v>1259</v>
      </c>
      <c r="M39" s="90">
        <v>1319</v>
      </c>
      <c r="N39" s="90">
        <v>1299</v>
      </c>
      <c r="O39" s="90">
        <v>1299</v>
      </c>
      <c r="P39" s="89">
        <v>1258</v>
      </c>
      <c r="Q39" s="89">
        <v>1164</v>
      </c>
      <c r="R39" s="89">
        <v>1124</v>
      </c>
      <c r="S39" s="89">
        <v>1059</v>
      </c>
      <c r="T39" s="90">
        <v>1083</v>
      </c>
      <c r="U39" s="89">
        <v>1026</v>
      </c>
      <c r="V39" s="89">
        <v>1017</v>
      </c>
      <c r="W39" s="89">
        <v>1045</v>
      </c>
      <c r="X39" s="89">
        <v>998</v>
      </c>
      <c r="Y39" s="90">
        <v>1008</v>
      </c>
    </row>
    <row r="40" spans="1:25">
      <c r="A40" s="88"/>
      <c r="B40" s="72" t="s">
        <v>251</v>
      </c>
      <c r="D40" s="77"/>
      <c r="E40" s="77"/>
      <c r="F40" s="77"/>
      <c r="G40" s="77"/>
      <c r="H40" s="77"/>
      <c r="I40" s="77"/>
      <c r="J40" s="77"/>
      <c r="K40"/>
      <c r="L40"/>
      <c r="M40" s="89">
        <v>1050</v>
      </c>
      <c r="N40">
        <v>1228</v>
      </c>
      <c r="O40">
        <v>1228</v>
      </c>
      <c r="P40">
        <v>1110</v>
      </c>
      <c r="Q40" s="90">
        <v>1064</v>
      </c>
      <c r="R40" s="89">
        <v>983</v>
      </c>
      <c r="S40" s="89">
        <v>956</v>
      </c>
      <c r="T40" s="89">
        <v>899</v>
      </c>
      <c r="U40" s="89">
        <v>909</v>
      </c>
      <c r="V40" s="89">
        <v>877</v>
      </c>
      <c r="W40" s="89">
        <v>839</v>
      </c>
      <c r="X40" s="89">
        <v>826</v>
      </c>
      <c r="Y40" s="90">
        <v>839</v>
      </c>
    </row>
    <row r="41" spans="1:25">
      <c r="A41" s="92" t="s">
        <v>374</v>
      </c>
      <c r="B41" s="82" t="s">
        <v>217</v>
      </c>
      <c r="D41" s="89">
        <v>3779</v>
      </c>
      <c r="E41">
        <v>3880</v>
      </c>
      <c r="F41">
        <v>3999</v>
      </c>
      <c r="G41">
        <v>3779</v>
      </c>
      <c r="H41">
        <v>3799</v>
      </c>
      <c r="I41">
        <v>3799</v>
      </c>
      <c r="J41">
        <v>3799</v>
      </c>
      <c r="K41">
        <v>3779</v>
      </c>
      <c r="L41">
        <v>3799</v>
      </c>
      <c r="M41">
        <v>3799</v>
      </c>
      <c r="N41">
        <v>3779</v>
      </c>
      <c r="O41">
        <v>3799</v>
      </c>
      <c r="P41">
        <v>3799</v>
      </c>
      <c r="Q41"/>
      <c r="R41"/>
      <c r="S41"/>
      <c r="T41"/>
      <c r="U41">
        <v>4353</v>
      </c>
    </row>
    <row r="42" spans="1:25">
      <c r="A42" s="92"/>
      <c r="B42" s="82" t="s">
        <v>218</v>
      </c>
      <c r="D42" s="89">
        <v>2919</v>
      </c>
      <c r="E42" s="89">
        <v>3098</v>
      </c>
      <c r="F42">
        <v>3299</v>
      </c>
      <c r="G42" s="89">
        <v>2899</v>
      </c>
      <c r="H42" s="90">
        <v>2899</v>
      </c>
      <c r="I42" s="90">
        <v>2899</v>
      </c>
      <c r="J42">
        <v>2899</v>
      </c>
      <c r="K42">
        <v>2900</v>
      </c>
      <c r="L42">
        <v>2899</v>
      </c>
      <c r="M42">
        <v>3200</v>
      </c>
      <c r="N42">
        <v>2989</v>
      </c>
      <c r="O42">
        <v>2899</v>
      </c>
      <c r="P42">
        <v>2899</v>
      </c>
      <c r="Q42"/>
      <c r="R42"/>
      <c r="S42"/>
      <c r="T42"/>
      <c r="U42">
        <v>3699</v>
      </c>
    </row>
    <row r="43" spans="1:25">
      <c r="A43" s="92"/>
      <c r="B43" s="82" t="s">
        <v>231</v>
      </c>
      <c r="D43" s="77">
        <v>2849</v>
      </c>
      <c r="E43">
        <v>2949</v>
      </c>
      <c r="F43">
        <v>2649</v>
      </c>
      <c r="G43">
        <v>2649</v>
      </c>
      <c r="H43">
        <v>2649</v>
      </c>
      <c r="I43">
        <v>2649</v>
      </c>
      <c r="J43">
        <v>2649</v>
      </c>
      <c r="K43">
        <v>2599</v>
      </c>
      <c r="L43">
        <v>2495</v>
      </c>
      <c r="M43">
        <v>2495</v>
      </c>
      <c r="N43">
        <v>2999</v>
      </c>
      <c r="O43">
        <v>3099</v>
      </c>
      <c r="P43">
        <v>2999</v>
      </c>
      <c r="Q43"/>
      <c r="R43"/>
      <c r="S43"/>
      <c r="T43"/>
    </row>
    <row r="44" spans="1:25">
      <c r="A44" s="92"/>
      <c r="B44" s="82" t="s">
        <v>230</v>
      </c>
      <c r="D44" s="89">
        <v>2229</v>
      </c>
      <c r="E44">
        <v>2298</v>
      </c>
      <c r="F44">
        <v>2339</v>
      </c>
      <c r="G44">
        <v>2269</v>
      </c>
      <c r="H44">
        <v>2269</v>
      </c>
      <c r="I44">
        <v>2269</v>
      </c>
      <c r="J44">
        <v>2290</v>
      </c>
      <c r="K44">
        <v>2269</v>
      </c>
      <c r="L44">
        <v>2269</v>
      </c>
      <c r="M44">
        <v>2350</v>
      </c>
      <c r="N44">
        <v>2290</v>
      </c>
      <c r="O44">
        <v>2249</v>
      </c>
      <c r="P44">
        <v>2250</v>
      </c>
      <c r="Q44"/>
      <c r="R44"/>
      <c r="S44"/>
      <c r="T44"/>
      <c r="U44">
        <v>2278</v>
      </c>
    </row>
    <row r="45" spans="1:25">
      <c r="A45" s="92"/>
      <c r="B45" t="s">
        <v>244</v>
      </c>
      <c r="D45">
        <v>3199</v>
      </c>
      <c r="E45" s="90">
        <v>2799</v>
      </c>
      <c r="F45" s="89">
        <v>2428</v>
      </c>
      <c r="G45" s="89">
        <v>2378</v>
      </c>
      <c r="H45" s="89">
        <v>2289</v>
      </c>
      <c r="I45" s="89">
        <v>2289</v>
      </c>
      <c r="J45" s="89">
        <v>2220</v>
      </c>
      <c r="K45">
        <v>2134</v>
      </c>
      <c r="L45">
        <v>2089</v>
      </c>
      <c r="M45">
        <v>2099</v>
      </c>
      <c r="N45">
        <v>2059</v>
      </c>
      <c r="O45">
        <v>2039</v>
      </c>
      <c r="P45">
        <v>1999</v>
      </c>
      <c r="Q45">
        <v>1805</v>
      </c>
      <c r="R45">
        <v>1825</v>
      </c>
      <c r="S45">
        <v>1839</v>
      </c>
      <c r="T45">
        <v>1839</v>
      </c>
      <c r="U45" s="89">
        <v>1659</v>
      </c>
      <c r="V45" s="90">
        <v>1797</v>
      </c>
      <c r="W45" s="90">
        <v>1737</v>
      </c>
      <c r="X45" s="89">
        <v>1609</v>
      </c>
      <c r="Y45" s="90">
        <v>1690</v>
      </c>
    </row>
    <row r="46" spans="1:25">
      <c r="A46" s="92"/>
      <c r="B46" s="82" t="s">
        <v>243</v>
      </c>
      <c r="D46">
        <v>1369</v>
      </c>
      <c r="E46">
        <v>1249</v>
      </c>
      <c r="F46">
        <v>1228</v>
      </c>
      <c r="G46">
        <v>1170</v>
      </c>
      <c r="H46" s="90">
        <v>1189</v>
      </c>
      <c r="I46" s="90">
        <v>1189</v>
      </c>
      <c r="J46" s="90">
        <v>1239</v>
      </c>
      <c r="K46">
        <v>1259</v>
      </c>
      <c r="L46">
        <v>1259</v>
      </c>
      <c r="M46">
        <v>1289</v>
      </c>
      <c r="N46">
        <v>1249</v>
      </c>
      <c r="O46">
        <v>1339</v>
      </c>
      <c r="P46">
        <v>1329</v>
      </c>
      <c r="Q46"/>
      <c r="R46"/>
      <c r="S46"/>
      <c r="T46"/>
      <c r="U46" s="89">
        <v>719</v>
      </c>
      <c r="X46">
        <v>1195</v>
      </c>
    </row>
    <row r="47" spans="1:25">
      <c r="A47" s="92"/>
      <c r="B47" s="82" t="s">
        <v>250</v>
      </c>
      <c r="D47">
        <v>1199</v>
      </c>
      <c r="E47">
        <v>1249</v>
      </c>
      <c r="F47">
        <v>1209</v>
      </c>
      <c r="G47">
        <v>1189</v>
      </c>
      <c r="H47">
        <v>1139</v>
      </c>
      <c r="I47">
        <v>1139</v>
      </c>
      <c r="J47">
        <v>1139</v>
      </c>
      <c r="K47">
        <v>1166</v>
      </c>
      <c r="L47">
        <v>1099</v>
      </c>
      <c r="M47">
        <v>1099</v>
      </c>
      <c r="N47">
        <v>1109</v>
      </c>
      <c r="O47">
        <v>1080</v>
      </c>
      <c r="P47">
        <v>1050</v>
      </c>
      <c r="Q47"/>
      <c r="R47"/>
      <c r="S47"/>
      <c r="T47"/>
    </row>
    <row r="48" spans="1:25">
      <c r="A48" s="92"/>
      <c r="B48" t="s">
        <v>256</v>
      </c>
      <c r="D48" s="89">
        <v>903</v>
      </c>
      <c r="E48" s="89">
        <v>955</v>
      </c>
      <c r="F48" s="89">
        <v>895</v>
      </c>
      <c r="G48" s="89">
        <v>883</v>
      </c>
      <c r="H48" s="89">
        <v>890</v>
      </c>
      <c r="I48" s="89">
        <v>890</v>
      </c>
      <c r="J48" s="89">
        <v>849</v>
      </c>
      <c r="K48">
        <v>865</v>
      </c>
      <c r="L48">
        <v>839</v>
      </c>
      <c r="M48">
        <v>839</v>
      </c>
      <c r="N48">
        <v>849</v>
      </c>
      <c r="O48">
        <v>829</v>
      </c>
      <c r="P48">
        <v>819</v>
      </c>
      <c r="Q48">
        <v>775</v>
      </c>
      <c r="R48">
        <v>765</v>
      </c>
      <c r="S48">
        <v>697</v>
      </c>
      <c r="T48">
        <v>646</v>
      </c>
      <c r="U48" s="90">
        <v>622</v>
      </c>
      <c r="V48" s="90">
        <v>629</v>
      </c>
      <c r="W48" s="90">
        <v>634</v>
      </c>
      <c r="X48" s="90">
        <v>600</v>
      </c>
      <c r="Y48" s="90">
        <v>609</v>
      </c>
    </row>
    <row r="49" spans="1:27">
      <c r="A49" s="92"/>
      <c r="B49" s="82" t="s">
        <v>260</v>
      </c>
      <c r="E49" s="89">
        <v>819</v>
      </c>
      <c r="F49" s="89">
        <v>706</v>
      </c>
      <c r="G49" s="89">
        <v>811</v>
      </c>
      <c r="H49" s="89">
        <v>790</v>
      </c>
      <c r="I49" s="89">
        <v>790</v>
      </c>
      <c r="J49" s="89">
        <v>765</v>
      </c>
      <c r="K49">
        <v>797</v>
      </c>
      <c r="L49">
        <v>769</v>
      </c>
      <c r="M49">
        <v>769</v>
      </c>
      <c r="N49">
        <v>769</v>
      </c>
      <c r="O49">
        <v>750</v>
      </c>
      <c r="P49">
        <v>769</v>
      </c>
      <c r="Q49"/>
      <c r="R49"/>
      <c r="S49"/>
      <c r="T49"/>
      <c r="X49">
        <v>742</v>
      </c>
    </row>
    <row r="50" spans="1:27">
      <c r="A50" s="93" t="s">
        <v>375</v>
      </c>
      <c r="B50" s="82" t="s">
        <v>233</v>
      </c>
      <c r="D50">
        <v>2299</v>
      </c>
      <c r="K50"/>
      <c r="L50"/>
      <c r="M50"/>
      <c r="N50"/>
      <c r="O50"/>
      <c r="P50"/>
      <c r="Q50"/>
      <c r="R50"/>
      <c r="S50"/>
      <c r="T50"/>
      <c r="U50" s="77"/>
      <c r="V50" s="77"/>
      <c r="W50" s="77"/>
      <c r="X50" s="77"/>
      <c r="Y50" s="77"/>
      <c r="Z50" s="77"/>
      <c r="AA50" s="77"/>
    </row>
    <row r="51" spans="1:27">
      <c r="A51" s="94"/>
      <c r="B51" s="82" t="s">
        <v>239</v>
      </c>
      <c r="D51">
        <v>1699</v>
      </c>
      <c r="K51"/>
      <c r="L51"/>
      <c r="M51"/>
      <c r="N51"/>
      <c r="O51"/>
      <c r="P51"/>
      <c r="Q51"/>
      <c r="R51"/>
      <c r="S51"/>
      <c r="T51"/>
      <c r="U51" s="77"/>
      <c r="V51" s="77"/>
      <c r="W51" s="77"/>
      <c r="X51" s="77"/>
      <c r="Y51" s="77"/>
      <c r="Z51" s="77"/>
      <c r="AA51" s="77"/>
    </row>
    <row r="52" spans="1:27">
      <c r="A52" s="94"/>
      <c r="B52" s="82" t="s">
        <v>257</v>
      </c>
      <c r="D52" s="90">
        <v>1097</v>
      </c>
      <c r="E52" s="90">
        <v>1369</v>
      </c>
      <c r="F52" s="90">
        <v>1449</v>
      </c>
      <c r="G52">
        <v>1549</v>
      </c>
      <c r="H52">
        <v>1469</v>
      </c>
      <c r="I52">
        <v>1469</v>
      </c>
      <c r="J52">
        <v>1469</v>
      </c>
      <c r="K52">
        <v>1510</v>
      </c>
      <c r="L52">
        <v>1549</v>
      </c>
      <c r="M52">
        <v>1649</v>
      </c>
      <c r="N52">
        <v>1649</v>
      </c>
      <c r="O52">
        <v>1879</v>
      </c>
      <c r="P52">
        <v>2070</v>
      </c>
      <c r="Q52"/>
      <c r="R52"/>
      <c r="S52"/>
      <c r="T52"/>
    </row>
    <row r="53" spans="1:27">
      <c r="A53" s="94"/>
      <c r="B53" s="82" t="s">
        <v>255</v>
      </c>
      <c r="D53" s="90">
        <v>699</v>
      </c>
      <c r="E53" s="90">
        <v>735</v>
      </c>
      <c r="F53" s="90">
        <v>718</v>
      </c>
      <c r="G53" s="90">
        <v>723</v>
      </c>
      <c r="H53" s="90">
        <v>723</v>
      </c>
      <c r="I53" s="90">
        <v>723</v>
      </c>
      <c r="J53" s="90">
        <v>695</v>
      </c>
      <c r="K53">
        <v>698</v>
      </c>
      <c r="L53">
        <v>729</v>
      </c>
      <c r="M53">
        <v>809</v>
      </c>
      <c r="N53">
        <v>899</v>
      </c>
      <c r="O53">
        <v>939</v>
      </c>
      <c r="P53">
        <v>919</v>
      </c>
      <c r="Q53"/>
      <c r="R53"/>
      <c r="S53"/>
      <c r="T53"/>
      <c r="U53">
        <v>1250</v>
      </c>
    </row>
    <row r="54" spans="1:27">
      <c r="A54" s="94"/>
      <c r="B54" s="82" t="s">
        <v>262</v>
      </c>
      <c r="C54" s="77" t="s">
        <v>263</v>
      </c>
      <c r="D54" s="77"/>
      <c r="E54" s="77"/>
      <c r="F54" s="77"/>
      <c r="G54" s="77"/>
      <c r="H54" s="89">
        <v>580</v>
      </c>
      <c r="I54" s="89">
        <v>580</v>
      </c>
      <c r="J54" s="89">
        <v>579</v>
      </c>
      <c r="K54">
        <v>709</v>
      </c>
      <c r="L54">
        <v>619</v>
      </c>
      <c r="M54">
        <v>659</v>
      </c>
      <c r="N54">
        <v>719</v>
      </c>
      <c r="O54">
        <v>759</v>
      </c>
      <c r="P54">
        <v>735</v>
      </c>
      <c r="Q54"/>
      <c r="R54"/>
      <c r="S54"/>
      <c r="T54"/>
      <c r="U54">
        <v>849</v>
      </c>
    </row>
    <row r="55" spans="1:27">
      <c r="A55" s="94"/>
      <c r="B55" s="82" t="s">
        <v>264</v>
      </c>
      <c r="D55" s="89">
        <v>539</v>
      </c>
      <c r="E55" s="89">
        <v>548</v>
      </c>
      <c r="F55" s="89">
        <v>528</v>
      </c>
      <c r="G55" s="89">
        <v>539</v>
      </c>
      <c r="H55">
        <v>560</v>
      </c>
      <c r="I55">
        <v>560</v>
      </c>
      <c r="J55" s="90">
        <v>548</v>
      </c>
      <c r="K55">
        <v>538</v>
      </c>
      <c r="L55">
        <v>569</v>
      </c>
      <c r="M55">
        <v>649</v>
      </c>
      <c r="N55">
        <v>685</v>
      </c>
      <c r="O55">
        <v>729</v>
      </c>
      <c r="P55">
        <v>699</v>
      </c>
      <c r="Q55"/>
      <c r="R55"/>
      <c r="S55"/>
      <c r="T55"/>
      <c r="U55">
        <v>750</v>
      </c>
      <c r="V55">
        <v>704</v>
      </c>
      <c r="W55">
        <v>679</v>
      </c>
    </row>
    <row r="56" spans="1:27">
      <c r="A56" s="94"/>
      <c r="B56" s="82" t="s">
        <v>266</v>
      </c>
      <c r="C56" s="77" t="s">
        <v>263</v>
      </c>
      <c r="D56" s="77"/>
      <c r="E56" s="77"/>
      <c r="F56" s="77"/>
      <c r="G56" s="77"/>
      <c r="K56"/>
      <c r="L56"/>
      <c r="M56"/>
      <c r="N56"/>
      <c r="O56"/>
      <c r="P56"/>
      <c r="Q56"/>
      <c r="R56"/>
      <c r="S56"/>
      <c r="T56"/>
      <c r="U56">
        <v>1058</v>
      </c>
      <c r="V56">
        <v>1064</v>
      </c>
      <c r="W56">
        <v>1099</v>
      </c>
    </row>
    <row r="57" spans="1:27">
      <c r="A57" s="94"/>
      <c r="B57" s="82" t="s">
        <v>267</v>
      </c>
      <c r="D57">
        <v>400</v>
      </c>
      <c r="E57">
        <v>424</v>
      </c>
      <c r="F57">
        <v>480</v>
      </c>
      <c r="G57">
        <v>409</v>
      </c>
      <c r="H57" s="90">
        <v>399</v>
      </c>
      <c r="I57" s="90">
        <v>399</v>
      </c>
      <c r="J57">
        <v>386</v>
      </c>
      <c r="K57">
        <v>385</v>
      </c>
      <c r="L57">
        <v>385</v>
      </c>
      <c r="M57">
        <v>409</v>
      </c>
      <c r="N57">
        <v>439</v>
      </c>
      <c r="O57">
        <v>489</v>
      </c>
      <c r="P57">
        <v>465</v>
      </c>
      <c r="Q57"/>
      <c r="R57"/>
      <c r="S57"/>
      <c r="T57"/>
      <c r="U57">
        <v>485</v>
      </c>
    </row>
    <row r="60" spans="1:27">
      <c r="A60" s="95" t="s">
        <v>376</v>
      </c>
      <c r="B60" s="95"/>
      <c r="C60" s="95"/>
      <c r="D60" s="95"/>
      <c r="F60" s="96" t="s">
        <v>377</v>
      </c>
      <c r="G60" s="96"/>
      <c r="H60" s="96"/>
      <c r="I60" s="96"/>
      <c r="J60" s="96"/>
      <c r="K60" s="97"/>
      <c r="L60" s="97"/>
      <c r="M60" s="97"/>
      <c r="N60" s="97"/>
      <c r="O60" s="97"/>
      <c r="P60" s="97"/>
      <c r="Q60" s="97"/>
      <c r="R60" s="97"/>
      <c r="S60" s="97"/>
      <c r="T60" s="97"/>
    </row>
    <row r="61" spans="1:27">
      <c r="A61" s="96"/>
      <c r="B61" s="96"/>
      <c r="C61" s="77" t="s">
        <v>378</v>
      </c>
      <c r="D61" t="s">
        <v>379</v>
      </c>
      <c r="F61" s="96"/>
      <c r="G61" s="96"/>
      <c r="H61" s="96"/>
      <c r="I61" s="96"/>
      <c r="J61" s="96"/>
      <c r="K61" s="97"/>
      <c r="L61" s="97"/>
      <c r="M61" s="97"/>
      <c r="N61" s="97"/>
      <c r="O61" s="97"/>
      <c r="P61" s="97"/>
      <c r="Q61" s="97"/>
      <c r="R61" s="97"/>
      <c r="S61" s="97"/>
      <c r="T61" s="97"/>
    </row>
    <row r="62" spans="1:27">
      <c r="A62" s="96" t="s">
        <v>380</v>
      </c>
      <c r="B62" s="96" t="s">
        <v>381</v>
      </c>
      <c r="C62" s="77">
        <v>24</v>
      </c>
      <c r="D62">
        <v>24</v>
      </c>
    </row>
    <row r="63" spans="1:27">
      <c r="A63" s="96"/>
      <c r="B63" s="96" t="s">
        <v>382</v>
      </c>
      <c r="C63" s="77">
        <v>20</v>
      </c>
      <c r="D63">
        <v>20</v>
      </c>
    </row>
    <row r="64" spans="1:27">
      <c r="A64" s="96"/>
      <c r="B64" s="96" t="s">
        <v>383</v>
      </c>
      <c r="C64" s="77">
        <v>14</v>
      </c>
      <c r="D64">
        <v>14</v>
      </c>
    </row>
    <row r="65" spans="1:4">
      <c r="A65" s="96" t="s">
        <v>384</v>
      </c>
      <c r="B65" s="96" t="s">
        <v>385</v>
      </c>
      <c r="C65" s="77">
        <v>24</v>
      </c>
      <c r="D65">
        <v>32</v>
      </c>
    </row>
    <row r="66" spans="1:4">
      <c r="A66" s="96"/>
      <c r="B66" s="96" t="s">
        <v>386</v>
      </c>
      <c r="C66" s="77">
        <v>20</v>
      </c>
      <c r="D66">
        <v>28</v>
      </c>
    </row>
    <row r="67" spans="1:4">
      <c r="A67" s="96"/>
      <c r="B67" s="96" t="s">
        <v>387</v>
      </c>
      <c r="C67" s="77">
        <v>14</v>
      </c>
      <c r="D67">
        <v>20</v>
      </c>
    </row>
    <row r="68" spans="1:4">
      <c r="A68" s="96"/>
      <c r="B68" s="96" t="s">
        <v>388</v>
      </c>
      <c r="C68" s="77">
        <v>6</v>
      </c>
      <c r="D68">
        <v>12</v>
      </c>
    </row>
    <row r="69" spans="1:4">
      <c r="A69" s="96"/>
      <c r="B69" s="96" t="s">
        <v>389</v>
      </c>
      <c r="C69" s="77">
        <v>10</v>
      </c>
      <c r="D69">
        <v>16</v>
      </c>
    </row>
    <row r="70" spans="1:4">
      <c r="A70" s="96"/>
      <c r="B70" s="96" t="s">
        <v>390</v>
      </c>
      <c r="C70" s="77">
        <v>4</v>
      </c>
      <c r="D70">
        <v>8</v>
      </c>
    </row>
    <row r="71" spans="1:4">
      <c r="A71" s="96" t="s">
        <v>391</v>
      </c>
      <c r="B71" s="96" t="s">
        <v>392</v>
      </c>
      <c r="C71" s="77">
        <v>16</v>
      </c>
      <c r="D71">
        <v>32</v>
      </c>
    </row>
    <row r="72" spans="1:4">
      <c r="A72" s="96"/>
      <c r="B72" s="96" t="s">
        <v>385</v>
      </c>
      <c r="C72" s="77">
        <v>12</v>
      </c>
      <c r="D72">
        <v>24</v>
      </c>
    </row>
    <row r="73" spans="1:4">
      <c r="A73" s="96"/>
      <c r="B73" s="96" t="s">
        <v>393</v>
      </c>
      <c r="C73" s="77">
        <v>8</v>
      </c>
      <c r="D73">
        <v>16</v>
      </c>
    </row>
    <row r="74" spans="1:4">
      <c r="A74" s="96"/>
      <c r="B74" s="96" t="s">
        <v>386</v>
      </c>
      <c r="C74" s="77">
        <v>8</v>
      </c>
      <c r="D74">
        <v>16</v>
      </c>
    </row>
    <row r="75" spans="1:4">
      <c r="A75" s="96"/>
      <c r="B75" s="96" t="s">
        <v>387</v>
      </c>
      <c r="C75" s="77">
        <v>6</v>
      </c>
      <c r="D75">
        <v>12</v>
      </c>
    </row>
    <row r="76" spans="1:4">
      <c r="A76" s="96"/>
      <c r="B76" s="96" t="s">
        <v>394</v>
      </c>
      <c r="C76" s="77">
        <v>6</v>
      </c>
      <c r="D76">
        <v>12</v>
      </c>
    </row>
  </sheetData>
  <mergeCells count="12">
    <mergeCell ref="A60:D60"/>
    <mergeCell ref="A3:A10"/>
    <mergeCell ref="A11:A17"/>
    <mergeCell ref="A18:A24"/>
    <mergeCell ref="A25:A30"/>
    <mergeCell ref="A31:A40"/>
    <mergeCell ref="A41:A49"/>
    <mergeCell ref="A50:A57"/>
    <mergeCell ref="A62:A64"/>
    <mergeCell ref="A65:A70"/>
    <mergeCell ref="A71:A76"/>
    <mergeCell ref="F60:T6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8"/>
  <sheetViews>
    <sheetView workbookViewId="0">
      <selection activeCell="I29" sqref="I29"/>
    </sheetView>
  </sheetViews>
  <sheetFormatPr defaultColWidth="8.88888888888889" defaultRowHeight="14.4"/>
  <sheetData>
    <row r="1" spans="2:11">
      <c r="D1">
        <v>2025</v>
      </c>
      <c r="E1">
        <v>2026</v>
      </c>
    </row>
    <row r="2" spans="2:11">
      <c r="D2">
        <v>8</v>
      </c>
      <c r="E2">
        <v>6</v>
      </c>
      <c r="F2">
        <v>7</v>
      </c>
      <c r="G2">
        <v>8</v>
      </c>
      <c r="H2">
        <v>9</v>
      </c>
      <c r="I2">
        <v>10</v>
      </c>
      <c r="J2">
        <v>11</v>
      </c>
      <c r="K2">
        <v>12</v>
      </c>
    </row>
    <row r="3" spans="2:11">
      <c r="C3" t="s">
        <v>395</v>
      </c>
    </row>
    <row r="4" spans="2:11">
      <c r="B4" s="67" t="s">
        <v>396</v>
      </c>
      <c r="C4" t="s">
        <v>397</v>
      </c>
      <c r="D4">
        <v>11.25</v>
      </c>
      <c r="E4">
        <v>19.31</v>
      </c>
      <c r="F4">
        <v>23.69</v>
      </c>
      <c r="G4">
        <v>22.25</v>
      </c>
      <c r="H4">
        <v>30.94</v>
      </c>
      <c r="I4">
        <v>29.38</v>
      </c>
    </row>
    <row r="5" spans="2:11">
      <c r="B5" s="67"/>
      <c r="C5" t="s">
        <v>398</v>
      </c>
      <c r="D5">
        <v>8.125</v>
      </c>
      <c r="E5">
        <v>21.22</v>
      </c>
      <c r="F5">
        <v>23.41</v>
      </c>
      <c r="G5">
        <v>24.78</v>
      </c>
      <c r="H5">
        <v>30.47</v>
      </c>
      <c r="I5">
        <v>31.25</v>
      </c>
    </row>
    <row r="6" spans="2:11">
      <c r="B6" s="67"/>
      <c r="C6" s="68" t="s">
        <v>399</v>
      </c>
      <c r="D6" s="68">
        <f t="shared" ref="D6:I6" si="0">ROUND(AVERAGE(D4:D5),2)</f>
        <v>9.69</v>
      </c>
      <c r="E6" s="68">
        <f t="shared" si="0"/>
        <v>20.27</v>
      </c>
      <c r="F6" s="68">
        <f t="shared" si="0"/>
        <v>23.55</v>
      </c>
      <c r="G6" s="68">
        <f t="shared" si="0"/>
        <v>23.52</v>
      </c>
      <c r="H6" s="68">
        <v>30.71</v>
      </c>
      <c r="I6" s="68">
        <f>ROUND(AVERAGE(I4:I5),2)</f>
        <v>30.32</v>
      </c>
    </row>
    <row r="7" spans="2:11">
      <c r="B7" s="69" t="s">
        <v>400</v>
      </c>
      <c r="C7" t="s">
        <v>398</v>
      </c>
      <c r="D7">
        <f>480/32</f>
        <v>15</v>
      </c>
      <c r="E7">
        <v>53.72</v>
      </c>
      <c r="F7">
        <v>60.5</v>
      </c>
      <c r="G7">
        <v>56.75</v>
      </c>
      <c r="H7">
        <v>68.69</v>
      </c>
      <c r="I7">
        <v>76.84</v>
      </c>
    </row>
    <row r="8" spans="2:11">
      <c r="B8" s="69"/>
      <c r="C8" t="s">
        <v>401</v>
      </c>
      <c r="D8">
        <f>840/48</f>
        <v>17.5</v>
      </c>
      <c r="E8">
        <v>58.08</v>
      </c>
      <c r="F8">
        <v>65.81</v>
      </c>
      <c r="G8">
        <v>68.73</v>
      </c>
      <c r="H8">
        <v>78.1</v>
      </c>
      <c r="I8">
        <v>74.98</v>
      </c>
    </row>
    <row r="9" spans="2:11">
      <c r="B9" s="69"/>
      <c r="C9" t="s">
        <v>402</v>
      </c>
      <c r="D9">
        <f>1100/64</f>
        <v>17.1875</v>
      </c>
      <c r="E9">
        <v>57.8</v>
      </c>
      <c r="F9">
        <v>64.2</v>
      </c>
      <c r="G9">
        <v>68.36</v>
      </c>
      <c r="H9">
        <v>71.52</v>
      </c>
      <c r="I9">
        <v>70.3</v>
      </c>
    </row>
    <row r="10" spans="2:11">
      <c r="B10" s="69"/>
      <c r="C10" t="s">
        <v>403</v>
      </c>
      <c r="D10">
        <f>1800/96</f>
        <v>18.75</v>
      </c>
      <c r="E10">
        <v>60.93</v>
      </c>
      <c r="F10">
        <v>79.26</v>
      </c>
      <c r="G10">
        <v>72.86</v>
      </c>
      <c r="H10">
        <v>83.28</v>
      </c>
      <c r="I10">
        <v>87.47</v>
      </c>
    </row>
    <row r="11" spans="2:11">
      <c r="B11" s="69"/>
      <c r="C11" t="s">
        <v>404</v>
      </c>
    </row>
    <row r="12" spans="2:11">
      <c r="B12" s="69"/>
      <c r="C12" s="70" t="s">
        <v>405</v>
      </c>
      <c r="D12" s="70">
        <f t="shared" ref="D12:I12" si="1">ROUND(MAX(D7:D10),2)</f>
        <v>18.75</v>
      </c>
      <c r="E12" s="70">
        <f t="shared" si="1"/>
        <v>60.93</v>
      </c>
      <c r="F12" s="70">
        <f t="shared" si="1"/>
        <v>79.26</v>
      </c>
      <c r="G12" s="70">
        <f t="shared" si="1"/>
        <v>72.86</v>
      </c>
      <c r="H12" s="70">
        <f t="shared" si="1"/>
        <v>83.28</v>
      </c>
      <c r="I12" s="70">
        <f t="shared" si="1"/>
        <v>87.47</v>
      </c>
    </row>
    <row r="13" spans="2:11">
      <c r="B13" s="69"/>
      <c r="C13" s="70" t="s">
        <v>406</v>
      </c>
      <c r="D13" s="70">
        <f t="shared" ref="D13:I13" si="2">ROUND(MIN(D7:D10),2)</f>
        <v>15</v>
      </c>
      <c r="E13" s="70">
        <f t="shared" si="2"/>
        <v>53.72</v>
      </c>
      <c r="F13" s="70">
        <f t="shared" si="2"/>
        <v>60.5</v>
      </c>
      <c r="G13" s="70">
        <f t="shared" si="2"/>
        <v>56.75</v>
      </c>
      <c r="H13" s="70">
        <f t="shared" si="2"/>
        <v>68.69</v>
      </c>
      <c r="I13" s="70">
        <f t="shared" si="2"/>
        <v>70.3</v>
      </c>
    </row>
    <row r="14" spans="2:11">
      <c r="B14" s="71" t="s">
        <v>407</v>
      </c>
      <c r="C14" t="s">
        <v>408</v>
      </c>
      <c r="D14">
        <f>380/1000</f>
        <v>0.38</v>
      </c>
      <c r="E14">
        <v>0.76</v>
      </c>
      <c r="F14">
        <v>0.85</v>
      </c>
      <c r="G14">
        <f>869/1000</f>
        <v>0.869</v>
      </c>
      <c r="H14">
        <v>0.85</v>
      </c>
      <c r="I14">
        <v>0.84</v>
      </c>
    </row>
    <row r="15" spans="2:11">
      <c r="B15" s="71"/>
      <c r="C15" t="s">
        <v>409</v>
      </c>
      <c r="D15">
        <v>0.36</v>
      </c>
      <c r="E15">
        <v>0.69</v>
      </c>
      <c r="F15">
        <v>0.73</v>
      </c>
      <c r="G15">
        <f>1549/2000</f>
        <v>0.7745</v>
      </c>
      <c r="H15">
        <v>0.75</v>
      </c>
      <c r="I15">
        <v>0.73</v>
      </c>
    </row>
    <row r="16" spans="2:11">
      <c r="B16" s="71"/>
      <c r="C16" s="72" t="s">
        <v>399</v>
      </c>
      <c r="D16" s="72">
        <f t="shared" ref="D16:I16" si="3">ROUND(AVERAGE(D14:D15),2)</f>
        <v>0.37</v>
      </c>
      <c r="E16" s="72">
        <f t="shared" si="3"/>
        <v>0.73</v>
      </c>
      <c r="F16" s="72">
        <f t="shared" si="3"/>
        <v>0.79</v>
      </c>
      <c r="G16" s="72">
        <f t="shared" si="3"/>
        <v>0.82</v>
      </c>
      <c r="H16" s="72">
        <f t="shared" si="3"/>
        <v>0.8</v>
      </c>
      <c r="I16" s="72">
        <f t="shared" si="3"/>
        <v>0.79</v>
      </c>
    </row>
    <row r="17" spans="2:9">
      <c r="B17" s="73" t="s">
        <v>410</v>
      </c>
      <c r="C17" t="s">
        <v>408</v>
      </c>
      <c r="E17">
        <v>1.005</v>
      </c>
      <c r="F17">
        <v>0.99</v>
      </c>
      <c r="G17">
        <v>1.039</v>
      </c>
      <c r="H17">
        <v>1.129</v>
      </c>
      <c r="I17">
        <v>0.986</v>
      </c>
    </row>
    <row r="18" spans="2:9">
      <c r="B18" s="73"/>
      <c r="C18" t="s">
        <v>409</v>
      </c>
      <c r="E18">
        <v>0.81</v>
      </c>
      <c r="F18">
        <v>0.85</v>
      </c>
      <c r="G18">
        <f>1759/2000</f>
        <v>0.8795</v>
      </c>
      <c r="H18">
        <v>0.989</v>
      </c>
      <c r="I18">
        <v>0.845</v>
      </c>
    </row>
    <row r="19" spans="2:9">
      <c r="B19" s="73"/>
      <c r="C19" s="74" t="s">
        <v>399</v>
      </c>
      <c r="D19" s="74"/>
      <c r="E19" s="74">
        <f>ROUND(AVERAGE(E17:E18),2)</f>
        <v>0.91</v>
      </c>
      <c r="F19" s="74">
        <f>ROUND(AVERAGE(F17:F18),2)</f>
        <v>0.92</v>
      </c>
      <c r="G19" s="74">
        <f>ROUND(AVERAGE(G17:G18),2)</f>
        <v>0.96</v>
      </c>
      <c r="H19" s="74">
        <f>ROUND(AVERAGE(H17:H18),2)</f>
        <v>1.06</v>
      </c>
      <c r="I19" s="74">
        <f>ROUND(AVERAGE(I17:I18),2)</f>
        <v>0.92</v>
      </c>
    </row>
    <row r="20" spans="2:9">
      <c r="B20" s="75" t="s">
        <v>411</v>
      </c>
      <c r="C20" t="s">
        <v>408</v>
      </c>
      <c r="E20">
        <v>0.27</v>
      </c>
      <c r="F20">
        <v>0.27</v>
      </c>
    </row>
    <row r="21" spans="2:9">
      <c r="B21" s="75"/>
      <c r="C21" t="s">
        <v>409</v>
      </c>
      <c r="E21">
        <v>0.19</v>
      </c>
      <c r="F21">
        <v>0.16</v>
      </c>
    </row>
    <row r="22" spans="2:9">
      <c r="B22" s="75"/>
      <c r="C22" t="s">
        <v>412</v>
      </c>
      <c r="E22">
        <v>0.16</v>
      </c>
      <c r="F22">
        <v>0.16</v>
      </c>
    </row>
    <row r="23" spans="2:9">
      <c r="B23" s="75"/>
      <c r="C23" s="76" t="s">
        <v>399</v>
      </c>
      <c r="D23" s="76">
        <v>0.15</v>
      </c>
      <c r="E23" s="76">
        <f t="shared" ref="E23:I23" si="4">ROUND(AVERAGE(E20:E22),2)</f>
        <v>0.21</v>
      </c>
      <c r="F23" s="76">
        <f t="shared" si="4"/>
        <v>0.2</v>
      </c>
      <c r="G23" s="76">
        <v>0.2</v>
      </c>
      <c r="H23" s="76">
        <v>0.2</v>
      </c>
      <c r="I23" s="76">
        <v>0.2</v>
      </c>
    </row>
    <row r="27" spans="2:9">
      <c r="B27" t="s">
        <v>413</v>
      </c>
      <c r="C27" t="s">
        <v>414</v>
      </c>
      <c r="D27" t="s">
        <v>415</v>
      </c>
    </row>
    <row r="28" spans="2:9">
      <c r="C28" t="s">
        <v>416</v>
      </c>
    </row>
  </sheetData>
  <mergeCells count="5">
    <mergeCell ref="B4:B6"/>
    <mergeCell ref="B7:B13"/>
    <mergeCell ref="B14:B16"/>
    <mergeCell ref="B17:B19"/>
    <mergeCell ref="B20:B23"/>
  </mergeCells>
  <pageMargins left="0.75" right="0.75" top="1" bottom="1" header="0.5" footer="0.5"/>
  <headerFooter/>
  <ignoredErrors>
    <ignoredError sqref="B1:K3 B4:H15 J4:K19 B16:F16 B17:G18 B19:F19 B20:K22 B23:F23 J23:K23 B24:K2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7"/>
  <sheetViews>
    <sheetView zoomScale="131" zoomScaleNormal="131" workbookViewId="0">
      <selection activeCell="I27" sqref="I27"/>
    </sheetView>
  </sheetViews>
  <sheetFormatPr defaultColWidth="8.88888888888889" defaultRowHeight="14.4"/>
  <cols>
    <col min="4" max="4" width="13.2222222222222" customWidth="1"/>
    <col min="5" max="5" width="11.2222222222222" customWidth="1"/>
    <col min="6" max="6" width="12.7777777777778" customWidth="1"/>
    <col min="7" max="7" width="10.7777777777778" customWidth="1"/>
    <col min="8" max="8" width="11.3333333333333" customWidth="1"/>
    <col min="9" max="9" width="16.2592592592593" customWidth="1"/>
  </cols>
  <sheetData>
    <row r="2" spans="1:9">
      <c r="A2" t="s">
        <v>417</v>
      </c>
      <c r="B2" s="1" t="s">
        <v>418</v>
      </c>
      <c r="C2" s="1" t="s">
        <v>419</v>
      </c>
      <c r="D2" s="2" t="s">
        <v>420</v>
      </c>
      <c r="E2" s="3" t="s">
        <v>421</v>
      </c>
      <c r="F2" s="4" t="s">
        <v>249</v>
      </c>
      <c r="G2" s="5" t="s">
        <v>225</v>
      </c>
      <c r="H2" s="6" t="s">
        <v>422</v>
      </c>
      <c r="I2" s="7" t="s">
        <v>423</v>
      </c>
    </row>
    <row r="3" ht="33" customHeight="1" spans="1:9">
      <c r="B3" s="8" t="s">
        <v>424</v>
      </c>
      <c r="C3" s="9" t="s">
        <v>425</v>
      </c>
      <c r="D3" s="10" t="s">
        <v>426</v>
      </c>
      <c r="E3" s="10" t="s">
        <v>427</v>
      </c>
      <c r="F3" s="10" t="s">
        <v>428</v>
      </c>
      <c r="G3" s="10" t="s">
        <v>429</v>
      </c>
      <c r="H3" s="10" t="s">
        <v>430</v>
      </c>
      <c r="I3" s="10" t="s">
        <v>431</v>
      </c>
    </row>
    <row r="4" ht="27" customHeight="1" spans="1:9">
      <c r="B4" s="11"/>
      <c r="C4" s="9" t="s">
        <v>432</v>
      </c>
      <c r="D4" s="10" t="s">
        <v>433</v>
      </c>
      <c r="E4" s="10" t="s">
        <v>434</v>
      </c>
      <c r="F4" s="10" t="s">
        <v>435</v>
      </c>
      <c r="G4" s="10" t="s">
        <v>436</v>
      </c>
      <c r="H4" s="10" t="s">
        <v>437</v>
      </c>
      <c r="I4" s="10" t="s">
        <v>438</v>
      </c>
    </row>
    <row r="5" spans="1:9">
      <c r="B5" s="11"/>
      <c r="C5" s="12" t="s">
        <v>439</v>
      </c>
      <c r="D5" s="13"/>
      <c r="E5" s="10" t="s">
        <v>440</v>
      </c>
      <c r="F5" s="10" t="s">
        <v>441</v>
      </c>
      <c r="G5" s="10" t="s">
        <v>442</v>
      </c>
      <c r="H5" s="13"/>
      <c r="I5" s="10" t="s">
        <v>443</v>
      </c>
    </row>
    <row r="6" ht="19.2" spans="1:9">
      <c r="B6" s="11"/>
      <c r="C6" s="14" t="s">
        <v>444</v>
      </c>
      <c r="D6" s="10" t="s">
        <v>445</v>
      </c>
      <c r="E6" s="10" t="s">
        <v>446</v>
      </c>
      <c r="F6" s="10" t="s">
        <v>447</v>
      </c>
      <c r="G6" s="10" t="s">
        <v>448</v>
      </c>
      <c r="H6" s="10" t="s">
        <v>449</v>
      </c>
      <c r="I6" s="10" t="s">
        <v>450</v>
      </c>
    </row>
    <row r="7" ht="19.2" spans="1:9">
      <c r="B7" s="15" t="s">
        <v>451</v>
      </c>
      <c r="C7" s="16" t="s">
        <v>452</v>
      </c>
      <c r="D7" s="10" t="s">
        <v>453</v>
      </c>
      <c r="E7" s="10" t="s">
        <v>454</v>
      </c>
      <c r="F7" s="10" t="s">
        <v>455</v>
      </c>
      <c r="G7" s="10" t="s">
        <v>456</v>
      </c>
      <c r="H7" s="10" t="s">
        <v>457</v>
      </c>
      <c r="I7" s="10" t="s">
        <v>458</v>
      </c>
    </row>
    <row r="8" spans="1:9">
      <c r="B8" s="17"/>
      <c r="C8" s="18" t="s">
        <v>459</v>
      </c>
      <c r="D8" s="10" t="s">
        <v>460</v>
      </c>
      <c r="E8" s="10" t="s">
        <v>461</v>
      </c>
      <c r="F8" s="10" t="s">
        <v>462</v>
      </c>
      <c r="G8" s="13"/>
      <c r="H8" s="13"/>
      <c r="I8" s="13"/>
    </row>
    <row r="9" ht="21" customHeight="1" spans="1:9">
      <c r="B9" s="19" t="s">
        <v>463</v>
      </c>
      <c r="C9" s="20" t="s">
        <v>464</v>
      </c>
      <c r="D9" s="10" t="s">
        <v>465</v>
      </c>
      <c r="E9" s="10" t="s">
        <v>466</v>
      </c>
      <c r="F9" s="10" t="s">
        <v>467</v>
      </c>
      <c r="G9" s="10" t="s">
        <v>468</v>
      </c>
      <c r="H9" s="10" t="s">
        <v>469</v>
      </c>
      <c r="I9" s="13"/>
    </row>
    <row r="10" ht="19.2" spans="1:9">
      <c r="B10" s="21"/>
      <c r="C10" s="20" t="s">
        <v>470</v>
      </c>
      <c r="D10" s="10" t="s">
        <v>471</v>
      </c>
      <c r="E10" s="10" t="s">
        <v>472</v>
      </c>
      <c r="F10" s="10" t="s">
        <v>473</v>
      </c>
      <c r="G10" s="10" t="s">
        <v>474</v>
      </c>
      <c r="H10" s="10" t="s">
        <v>475</v>
      </c>
      <c r="I10" s="13"/>
    </row>
    <row r="11" spans="1:9">
      <c r="B11" s="21"/>
      <c r="C11" s="22" t="s">
        <v>476</v>
      </c>
      <c r="D11" s="10" t="s">
        <v>477</v>
      </c>
      <c r="E11" s="10" t="s">
        <v>478</v>
      </c>
      <c r="F11" s="10" t="s">
        <v>479</v>
      </c>
      <c r="G11" s="10" t="s">
        <v>480</v>
      </c>
      <c r="H11" s="10" t="s">
        <v>481</v>
      </c>
      <c r="I11" s="13"/>
    </row>
    <row r="12" spans="1:9">
      <c r="B12" s="21"/>
      <c r="C12" s="23" t="s">
        <v>482</v>
      </c>
      <c r="D12" s="10" t="s">
        <v>483</v>
      </c>
      <c r="E12" s="10" t="s">
        <v>484</v>
      </c>
      <c r="F12" s="10" t="s">
        <v>485</v>
      </c>
      <c r="G12" s="24" t="s">
        <v>486</v>
      </c>
      <c r="H12" s="24" t="s">
        <v>487</v>
      </c>
      <c r="I12" s="13"/>
    </row>
    <row r="13" ht="19.2" spans="1:9">
      <c r="B13" s="21"/>
      <c r="C13" s="25" t="s">
        <v>488</v>
      </c>
      <c r="D13" s="10" t="s">
        <v>489</v>
      </c>
      <c r="E13" s="10" t="s">
        <v>490</v>
      </c>
      <c r="F13" s="10" t="s">
        <v>491</v>
      </c>
      <c r="G13" s="13"/>
      <c r="H13" s="13"/>
      <c r="I13" s="13"/>
    </row>
    <row r="14" ht="28.8" spans="1:9">
      <c r="B14" s="21"/>
      <c r="C14" s="26" t="s">
        <v>492</v>
      </c>
      <c r="D14" s="10" t="s">
        <v>493</v>
      </c>
      <c r="E14" s="10" t="s">
        <v>494</v>
      </c>
      <c r="F14" s="10" t="s">
        <v>495</v>
      </c>
      <c r="G14" s="10" t="s">
        <v>496</v>
      </c>
      <c r="H14" s="13"/>
      <c r="I14" s="13"/>
    </row>
    <row r="15" ht="24" customHeight="1" spans="1:9">
      <c r="B15" s="27" t="s">
        <v>497</v>
      </c>
      <c r="C15" s="28" t="s">
        <v>498</v>
      </c>
      <c r="D15" s="10" t="s">
        <v>499</v>
      </c>
      <c r="E15" s="10" t="s">
        <v>500</v>
      </c>
      <c r="F15" s="10" t="s">
        <v>501</v>
      </c>
      <c r="G15" s="24" t="s">
        <v>502</v>
      </c>
      <c r="H15" s="13"/>
      <c r="I15" s="13"/>
    </row>
    <row r="16" ht="19.2" spans="1:9">
      <c r="B16" s="29"/>
      <c r="C16" s="30" t="s">
        <v>503</v>
      </c>
      <c r="D16" s="10" t="s">
        <v>504</v>
      </c>
      <c r="E16" s="10" t="s">
        <v>505</v>
      </c>
      <c r="F16" s="13"/>
      <c r="G16" s="13"/>
      <c r="H16" s="13"/>
      <c r="I16" s="13"/>
    </row>
    <row r="17" spans="1:9">
      <c r="B17" s="29"/>
      <c r="C17" s="31" t="s">
        <v>506</v>
      </c>
      <c r="D17" s="10" t="s">
        <v>507</v>
      </c>
      <c r="E17" s="10" t="s">
        <v>508</v>
      </c>
      <c r="F17" s="13"/>
      <c r="G17" s="13"/>
      <c r="H17" s="13"/>
      <c r="I17" s="13"/>
    </row>
    <row r="18" spans="1:9">
      <c r="B18" s="29"/>
      <c r="C18" s="32" t="s">
        <v>509</v>
      </c>
      <c r="D18" s="13"/>
      <c r="E18" s="10" t="s">
        <v>510</v>
      </c>
      <c r="F18" s="10" t="s">
        <v>511</v>
      </c>
      <c r="G18" s="13"/>
      <c r="H18" s="13"/>
      <c r="I18" s="13"/>
    </row>
    <row r="20" spans="1:9">
      <c r="A20" t="s">
        <v>512</v>
      </c>
      <c r="B20" s="33" t="s">
        <v>418</v>
      </c>
      <c r="C20" s="34" t="s">
        <v>67</v>
      </c>
      <c r="D20" s="35" t="s">
        <v>513</v>
      </c>
      <c r="E20" s="36" t="s">
        <v>421</v>
      </c>
      <c r="F20" s="37" t="s">
        <v>249</v>
      </c>
      <c r="G20" s="38" t="s">
        <v>225</v>
      </c>
      <c r="H20" s="39" t="s">
        <v>422</v>
      </c>
      <c r="I20" s="40" t="s">
        <v>423</v>
      </c>
    </row>
    <row r="21" spans="1:9">
      <c r="B21" s="41" t="s">
        <v>424</v>
      </c>
      <c r="C21" s="42" t="s">
        <v>514</v>
      </c>
      <c r="D21" s="43" t="s">
        <v>426</v>
      </c>
      <c r="E21" s="43" t="s">
        <v>515</v>
      </c>
      <c r="F21" s="44"/>
      <c r="G21" s="43" t="s">
        <v>516</v>
      </c>
      <c r="H21" s="43" t="s">
        <v>517</v>
      </c>
      <c r="I21" s="44"/>
    </row>
    <row r="22" spans="1:9">
      <c r="B22" s="45"/>
      <c r="C22" s="46" t="s">
        <v>432</v>
      </c>
      <c r="D22" s="43" t="s">
        <v>433</v>
      </c>
      <c r="E22" s="43" t="s">
        <v>518</v>
      </c>
      <c r="F22" s="44"/>
      <c r="G22" s="43" t="s">
        <v>436</v>
      </c>
      <c r="H22" s="44"/>
      <c r="I22" s="44"/>
    </row>
    <row r="23" ht="21.6" spans="1:9">
      <c r="B23" s="45"/>
      <c r="C23" s="47" t="s">
        <v>519</v>
      </c>
      <c r="D23" s="44"/>
      <c r="E23" s="43" t="s">
        <v>520</v>
      </c>
      <c r="F23" s="43" t="s">
        <v>521</v>
      </c>
      <c r="G23" s="43" t="s">
        <v>522</v>
      </c>
      <c r="H23" s="43" t="s">
        <v>523</v>
      </c>
      <c r="I23" s="43" t="s">
        <v>524</v>
      </c>
    </row>
    <row r="24" spans="1:9">
      <c r="B24" s="45"/>
      <c r="C24" s="48" t="s">
        <v>525</v>
      </c>
      <c r="D24" s="44"/>
      <c r="E24" s="43" t="s">
        <v>526</v>
      </c>
      <c r="F24" s="43" t="s">
        <v>527</v>
      </c>
      <c r="G24" s="43" t="s">
        <v>528</v>
      </c>
      <c r="H24" s="44"/>
      <c r="I24" s="44"/>
    </row>
    <row r="25" spans="1:9">
      <c r="B25" s="45"/>
      <c r="C25" s="49" t="s">
        <v>529</v>
      </c>
      <c r="D25" s="44"/>
      <c r="E25" s="43" t="s">
        <v>530</v>
      </c>
      <c r="F25" s="43" t="s">
        <v>531</v>
      </c>
      <c r="G25" s="43" t="s">
        <v>532</v>
      </c>
      <c r="H25" s="43" t="s">
        <v>533</v>
      </c>
      <c r="I25" s="44"/>
    </row>
    <row r="26" spans="1:9">
      <c r="B26" s="45"/>
      <c r="C26" s="50" t="s">
        <v>534</v>
      </c>
      <c r="D26" s="44"/>
      <c r="E26" s="43" t="s">
        <v>535</v>
      </c>
      <c r="F26" s="44"/>
      <c r="G26" s="43" t="s">
        <v>508</v>
      </c>
      <c r="H26" s="43" t="s">
        <v>536</v>
      </c>
      <c r="I26" s="44"/>
    </row>
    <row r="27" ht="21.6" spans="1:9">
      <c r="B27" s="51" t="s">
        <v>451</v>
      </c>
      <c r="C27" s="52" t="s">
        <v>537</v>
      </c>
      <c r="D27" s="44"/>
      <c r="E27" s="43" t="s">
        <v>538</v>
      </c>
      <c r="F27" s="43" t="s">
        <v>539</v>
      </c>
      <c r="G27" s="43" t="s">
        <v>540</v>
      </c>
      <c r="H27" s="43" t="s">
        <v>541</v>
      </c>
      <c r="I27" s="44"/>
    </row>
    <row r="28" ht="21.6" spans="1:9">
      <c r="B28" s="53" t="s">
        <v>463</v>
      </c>
      <c r="C28" s="54" t="s">
        <v>492</v>
      </c>
      <c r="D28" s="43" t="s">
        <v>493</v>
      </c>
      <c r="E28" s="43" t="s">
        <v>542</v>
      </c>
      <c r="F28" s="43" t="s">
        <v>543</v>
      </c>
      <c r="G28" s="43" t="s">
        <v>496</v>
      </c>
      <c r="H28" s="44"/>
      <c r="I28" s="44"/>
    </row>
    <row r="29" spans="1:9">
      <c r="B29" s="55"/>
      <c r="C29" s="56" t="s">
        <v>544</v>
      </c>
      <c r="D29" s="43" t="s">
        <v>545</v>
      </c>
      <c r="E29" s="43" t="s">
        <v>546</v>
      </c>
      <c r="F29" s="43" t="s">
        <v>547</v>
      </c>
      <c r="G29" s="43" t="s">
        <v>548</v>
      </c>
      <c r="H29" s="44"/>
      <c r="I29" s="44"/>
    </row>
    <row r="30" spans="1:9">
      <c r="B30" s="55"/>
      <c r="C30" s="57" t="s">
        <v>549</v>
      </c>
      <c r="D30" s="44"/>
      <c r="E30" s="43" t="s">
        <v>550</v>
      </c>
      <c r="F30" s="43" t="s">
        <v>551</v>
      </c>
      <c r="G30" s="44"/>
      <c r="H30" s="44"/>
      <c r="I30" s="44"/>
    </row>
    <row r="32" ht="15.6" spans="1:9">
      <c r="A32" t="s">
        <v>552</v>
      </c>
      <c r="B32" s="58"/>
      <c r="C32" s="59" t="s">
        <v>553</v>
      </c>
      <c r="D32" s="60" t="s">
        <v>554</v>
      </c>
      <c r="E32" s="61"/>
      <c r="F32" s="62"/>
    </row>
    <row r="33" ht="15.6" spans="2:6">
      <c r="B33" s="58"/>
      <c r="C33" s="63" t="s">
        <v>537</v>
      </c>
      <c r="D33" s="60" t="s">
        <v>538</v>
      </c>
      <c r="E33" s="62"/>
      <c r="F33" s="64" t="s">
        <v>555</v>
      </c>
    </row>
    <row r="34" ht="15.6" spans="2:6">
      <c r="B34" s="58"/>
      <c r="C34" s="63" t="s">
        <v>556</v>
      </c>
      <c r="D34" s="64" t="s">
        <v>557</v>
      </c>
      <c r="E34" s="64" t="s">
        <v>558</v>
      </c>
      <c r="F34" s="64" t="s">
        <v>559</v>
      </c>
    </row>
    <row r="35" ht="15.6" spans="2:6">
      <c r="B35" s="58"/>
      <c r="C35" s="65" t="s">
        <v>560</v>
      </c>
      <c r="D35" s="66"/>
      <c r="E35" s="60" t="s">
        <v>561</v>
      </c>
      <c r="F35" s="62"/>
    </row>
    <row r="36" ht="15.6" spans="2:6">
      <c r="B36" s="58"/>
      <c r="C36" s="63" t="s">
        <v>562</v>
      </c>
      <c r="D36" s="64" t="s">
        <v>563</v>
      </c>
      <c r="E36" s="64" t="s">
        <v>564</v>
      </c>
      <c r="F36" s="64" t="s">
        <v>565</v>
      </c>
    </row>
    <row r="37" ht="15" customHeight="1" spans="2:6">
      <c r="B37" s="58"/>
      <c r="C37" s="63" t="s">
        <v>432</v>
      </c>
      <c r="D37" s="64" t="s">
        <v>566</v>
      </c>
      <c r="E37" s="66"/>
      <c r="F37" s="66"/>
    </row>
  </sheetData>
  <mergeCells count="10">
    <mergeCell ref="D32:F32"/>
    <mergeCell ref="D33:E33"/>
    <mergeCell ref="E35:F35"/>
    <mergeCell ref="B3:B6"/>
    <mergeCell ref="B7:B8"/>
    <mergeCell ref="B9:B14"/>
    <mergeCell ref="B15:B18"/>
    <mergeCell ref="B21:B26"/>
    <mergeCell ref="B28:B30"/>
    <mergeCell ref="B32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GPU天梯图</vt:lpstr>
      <vt:lpstr>桌面端CPU天梯图</vt:lpstr>
      <vt:lpstr>笔记本CPU天梯图</vt:lpstr>
      <vt:lpstr>显卡行情</vt:lpstr>
      <vt:lpstr>CPU行情</vt:lpstr>
      <vt:lpstr>内存行情</vt:lpstr>
      <vt:lpstr>显卡品牌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Jiahe</cp:lastModifiedBy>
  <dcterms:created xsi:type="dcterms:W3CDTF">2023-05-12T11:15:00Z</dcterms:created>
  <dcterms:modified xsi:type="dcterms:W3CDTF">2026-10-08T12:43:41Z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0E6B8AF176524C25BAF33BDBFCC81882_12</vt:lpwstr>
  </property>
  <property fmtid="{D5CDD505-2E9C-101B-9397-08002B2CF9AE}" pid="4" name="CalculationRule">
    <vt:i4>0</vt:i4>
  </property>
</Properties>
</file>